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1925" tabRatio="600" firstSheet="0" activeTab="1" autoFilterDateGrouping="1"/>
  </bookViews>
  <sheets>
    <sheet name="电子发票" sheetId="1" state="visible" r:id="rId1"/>
    <sheet name="G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yyyy/m/d\ hh:mm:ss"/>
    <numFmt numFmtId="166" formatCode="_ * #,##0.00_ ;_ * \-#,##0.00_ ;_ * &quot; - &quot;??_ ;_ @_ "/>
  </numFmts>
  <fonts count="72">
    <font>
      <name val="宋体"/>
      <charset val="134"/>
      <color indexed="8"/>
      <sz val="11"/>
    </font>
    <font>
      <name val="宋体"/>
      <charset val="134"/>
      <color rgb="FFFF0000"/>
      <sz val="11"/>
    </font>
    <font>
      <name val="Verdana"/>
      <charset val="134"/>
      <color indexed="8"/>
      <sz val="10"/>
    </font>
    <font>
      <name val="Verdana"/>
      <charset val="134"/>
      <color indexed="8"/>
      <sz val="9"/>
    </font>
    <font>
      <name val="宋体"/>
      <charset val="134"/>
      <color indexed="8"/>
      <sz val="10"/>
    </font>
    <font>
      <name val="Verdana"/>
      <charset val="134"/>
      <color indexed="62"/>
      <sz val="9"/>
    </font>
    <font>
      <name val="Verdana"/>
      <charset val="134"/>
      <b val="1"/>
      <color indexed="62"/>
      <sz val="10"/>
    </font>
    <font>
      <name val="Verdana"/>
      <charset val="134"/>
      <b val="1"/>
      <color indexed="62"/>
      <sz val="11"/>
    </font>
    <font>
      <name val="Verdana"/>
      <charset val="134"/>
      <b val="1"/>
      <color indexed="10"/>
      <sz val="11"/>
    </font>
    <font>
      <name val="Verdana"/>
      <charset val="134"/>
      <b val="1"/>
      <color indexed="10"/>
      <sz val="10"/>
    </font>
    <font>
      <name val="Verdana"/>
      <charset val="134"/>
      <color indexed="10"/>
      <sz val="10"/>
    </font>
    <font>
      <name val="Verdana"/>
      <charset val="134"/>
      <color indexed="62"/>
      <sz val="10"/>
    </font>
    <font>
      <name val="Verdana"/>
      <charset val="134"/>
      <color indexed="8"/>
      <sz val="11"/>
    </font>
    <font>
      <name val="Verdana"/>
      <charset val="134"/>
      <color indexed="62"/>
      <sz val="11"/>
    </font>
    <font>
      <name val="宋体"/>
      <charset val="134"/>
      <color rgb="FFFF0000"/>
      <sz val="10"/>
    </font>
    <font>
      <name val="宋体"/>
      <charset val="134"/>
      <b val="1"/>
      <color indexed="8"/>
      <sz val="10"/>
    </font>
    <font>
      <name val="Verdana"/>
      <charset val="134"/>
      <color rgb="FFFF0000"/>
      <sz val="10"/>
    </font>
    <font>
      <name val="Calibri"/>
      <charset val="134"/>
      <b val="1"/>
      <color indexed="62"/>
      <sz val="10"/>
    </font>
    <font>
      <name val="宋体"/>
      <charset val="134"/>
      <color indexed="10"/>
      <sz val="10"/>
    </font>
    <font>
      <name val="Arial"/>
      <charset val="134"/>
      <sz val="10"/>
    </font>
    <font>
      <name val="Arial"/>
      <charset val="134"/>
      <color indexed="8"/>
      <sz val="10"/>
    </font>
    <font>
      <name val="Verdana"/>
      <charset val="134"/>
      <color theme="1"/>
      <sz val="9"/>
    </font>
    <font>
      <name val="Verdana"/>
      <charset val="134"/>
      <b val="1"/>
      <sz val="9"/>
    </font>
    <font>
      <name val="宋体"/>
      <charset val="134"/>
      <b val="1"/>
      <sz val="9"/>
    </font>
    <font>
      <name val="Verdana"/>
      <charset val="134"/>
      <sz val="9"/>
    </font>
    <font>
      <name val="Verdana"/>
      <charset val="134"/>
      <b val="1"/>
      <color indexed="8"/>
      <sz val="10"/>
    </font>
    <font>
      <name val="宋体"/>
      <charset val="134"/>
      <sz val="10"/>
    </font>
    <font>
      <name val="宋体"/>
      <charset val="134"/>
      <sz val="11"/>
    </font>
    <font>
      <name val="Verdana"/>
      <charset val="134"/>
      <color indexed="10"/>
      <sz val="9"/>
    </font>
    <font>
      <name val="Arial"/>
      <charset val="134"/>
      <color indexed="10"/>
      <sz val="10"/>
    </font>
    <font>
      <name val="宋体"/>
      <charset val="134"/>
      <color indexed="10"/>
      <sz val="11"/>
    </font>
    <font>
      <name val="宋体"/>
      <charset val="134"/>
      <sz val="9"/>
    </font>
    <font>
      <name val="宋体"/>
      <charset val="134"/>
      <b val="1"/>
      <sz val="10"/>
    </font>
    <font>
      <name val="Verdana"/>
      <charset val="134"/>
      <b val="1"/>
      <sz val="10"/>
    </font>
    <font>
      <name val="宋体"/>
      <charset val="134"/>
      <b val="1"/>
      <sz val="11"/>
    </font>
    <font>
      <name val="Verdana"/>
      <charset val="134"/>
      <sz val="10"/>
    </font>
    <font>
      <name val="新宋体"/>
      <charset val="134"/>
      <sz val="11"/>
    </font>
    <font>
      <name val="Arial"/>
      <charset val="134"/>
      <color theme="1"/>
      <sz val="10"/>
    </font>
    <font>
      <name val="宋体"/>
      <charset val="134"/>
      <color theme="1"/>
      <sz val="11"/>
    </font>
    <font>
      <name val="新宋体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indexed="8"/>
      <sz val="11"/>
    </font>
    <font>
      <name val="Verdana"/>
      <charset val="134"/>
      <color theme="1"/>
      <sz val="10"/>
    </font>
    <font>
      <name val="Verdana"/>
      <charset val="134"/>
      <color indexed="9"/>
      <sz val="10"/>
    </font>
    <font>
      <name val="Helvetica"/>
      <charset val="134"/>
      <sz val="10"/>
    </font>
    <font>
      <name val="Times New Roman"/>
      <charset val="134"/>
      <sz val="11"/>
    </font>
    <font>
      <name val="宋体"/>
      <charset val="134"/>
      <sz val="12"/>
    </font>
    <font>
      <name val="宋体"/>
      <charset val="134"/>
      <sz val="1"/>
    </font>
    <font>
      <name val="Verdana"/>
      <charset val="134"/>
      <color indexed="53"/>
      <sz val="10"/>
    </font>
    <font>
      <name val="Verdana"/>
      <charset val="134"/>
      <color indexed="16"/>
      <sz val="10"/>
    </font>
    <font>
      <name val="宋体"/>
      <charset val="134"/>
      <color indexed="62"/>
      <sz val="10"/>
    </font>
    <font>
      <name val="Verdana"/>
      <charset val="134"/>
      <color indexed="29"/>
      <sz val="10"/>
    </font>
    <font>
      <name val="宋体"/>
      <charset val="134"/>
      <color indexed="29"/>
      <sz val="10"/>
    </font>
  </fonts>
  <fills count="5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indexed="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06600"/>
        <bgColor indexed="55"/>
      </patternFill>
    </fill>
    <fill>
      <patternFill patternType="solid">
        <fgColor theme="0"/>
        <bgColor indexed="55"/>
      </patternFill>
    </fill>
    <fill>
      <patternFill patternType="solid">
        <fgColor theme="4" tint="0.599993896298105"/>
        <bgColor indexed="55"/>
      </patternFill>
    </fill>
    <fill>
      <patternFill patternType="solid">
        <fgColor theme="9" tint="0.3997924741355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22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</borders>
  <cellStyleXfs count="94">
    <xf numFmtId="0" fontId="0" fillId="0" borderId="0"/>
    <xf numFmtId="43" fontId="0" fillId="0" borderId="0" applyAlignment="1">
      <alignment vertical="center"/>
    </xf>
    <xf numFmtId="44" fontId="40" fillId="0" borderId="0" applyAlignment="1">
      <alignment vertical="center"/>
    </xf>
    <xf numFmtId="9" fontId="40" fillId="0" borderId="0" applyAlignment="1">
      <alignment vertical="center"/>
    </xf>
    <xf numFmtId="41" fontId="40" fillId="0" borderId="0" applyAlignment="1">
      <alignment vertical="center"/>
    </xf>
    <xf numFmtId="42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0" fillId="26" borderId="10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6" fillId="0" borderId="11" applyAlignment="1">
      <alignment vertical="center"/>
    </xf>
    <xf numFmtId="0" fontId="47" fillId="0" borderId="11" applyAlignment="1">
      <alignment vertical="center"/>
    </xf>
    <xf numFmtId="0" fontId="48" fillId="0" borderId="12" applyAlignment="1">
      <alignment vertical="center"/>
    </xf>
    <xf numFmtId="0" fontId="48" fillId="0" borderId="0" applyAlignment="1">
      <alignment vertical="center"/>
    </xf>
    <xf numFmtId="0" fontId="49" fillId="27" borderId="13" applyAlignment="1">
      <alignment vertical="center"/>
    </xf>
    <xf numFmtId="0" fontId="50" fillId="28" borderId="14" applyAlignment="1">
      <alignment vertical="center"/>
    </xf>
    <xf numFmtId="0" fontId="51" fillId="28" borderId="13" applyAlignment="1">
      <alignment vertical="center"/>
    </xf>
    <xf numFmtId="0" fontId="52" fillId="29" borderId="15" applyAlignment="1">
      <alignment vertical="center"/>
    </xf>
    <xf numFmtId="0" fontId="53" fillId="0" borderId="16" applyAlignment="1">
      <alignment vertical="center"/>
    </xf>
    <xf numFmtId="0" fontId="54" fillId="0" borderId="17" applyAlignment="1">
      <alignment vertical="center"/>
    </xf>
    <xf numFmtId="0" fontId="55" fillId="30" borderId="0" applyAlignment="1">
      <alignment vertical="center"/>
    </xf>
    <xf numFmtId="0" fontId="56" fillId="31" borderId="0" applyAlignment="1">
      <alignment vertical="center"/>
    </xf>
    <xf numFmtId="0" fontId="57" fillId="32" borderId="0" applyAlignment="1">
      <alignment vertical="center"/>
    </xf>
    <xf numFmtId="0" fontId="58" fillId="33" borderId="0" applyAlignment="1">
      <alignment vertical="center"/>
    </xf>
    <xf numFmtId="0" fontId="59" fillId="34" borderId="0" applyAlignment="1">
      <alignment vertical="center"/>
    </xf>
    <xf numFmtId="0" fontId="59" fillId="19" borderId="0" applyAlignment="1">
      <alignment vertical="center"/>
    </xf>
    <xf numFmtId="0" fontId="58" fillId="35" borderId="0" applyAlignment="1">
      <alignment vertical="center"/>
    </xf>
    <xf numFmtId="0" fontId="58" fillId="36" borderId="0" applyAlignment="1">
      <alignment vertical="center"/>
    </xf>
    <xf numFmtId="0" fontId="59" fillId="37" borderId="0" applyAlignment="1">
      <alignment vertical="center"/>
    </xf>
    <xf numFmtId="0" fontId="59" fillId="38" borderId="0" applyAlignment="1">
      <alignment vertical="center"/>
    </xf>
    <xf numFmtId="0" fontId="58" fillId="39" borderId="0" applyAlignment="1">
      <alignment vertical="center"/>
    </xf>
    <xf numFmtId="0" fontId="58" fillId="40" borderId="0" applyAlignment="1">
      <alignment vertical="center"/>
    </xf>
    <xf numFmtId="0" fontId="59" fillId="41" borderId="0" applyAlignment="1">
      <alignment vertical="center"/>
    </xf>
    <xf numFmtId="0" fontId="59" fillId="42" borderId="0" applyAlignment="1">
      <alignment vertical="center"/>
    </xf>
    <xf numFmtId="0" fontId="58" fillId="43" borderId="0" applyAlignment="1">
      <alignment vertical="center"/>
    </xf>
    <xf numFmtId="0" fontId="58" fillId="44" borderId="0" applyAlignment="1">
      <alignment vertical="center"/>
    </xf>
    <xf numFmtId="0" fontId="59" fillId="45" borderId="0" applyAlignment="1">
      <alignment vertical="center"/>
    </xf>
    <xf numFmtId="0" fontId="59" fillId="46" borderId="0" applyAlignment="1">
      <alignment vertical="center"/>
    </xf>
    <xf numFmtId="0" fontId="58" fillId="47" borderId="0" applyAlignment="1">
      <alignment vertical="center"/>
    </xf>
    <xf numFmtId="0" fontId="58" fillId="48" borderId="0" applyAlignment="1">
      <alignment vertical="center"/>
    </xf>
    <xf numFmtId="0" fontId="59" fillId="49" borderId="0" applyAlignment="1">
      <alignment vertical="center"/>
    </xf>
    <xf numFmtId="0" fontId="59" fillId="10" borderId="0" applyAlignment="1">
      <alignment vertical="center"/>
    </xf>
    <xf numFmtId="0" fontId="58" fillId="50" borderId="0" applyAlignment="1">
      <alignment vertical="center"/>
    </xf>
    <xf numFmtId="0" fontId="58" fillId="51" borderId="0" applyAlignment="1">
      <alignment vertical="center"/>
    </xf>
    <xf numFmtId="0" fontId="59" fillId="52" borderId="0" applyAlignment="1">
      <alignment vertical="center"/>
    </xf>
    <xf numFmtId="0" fontId="59" fillId="53" borderId="0" applyAlignment="1">
      <alignment vertical="center"/>
    </xf>
    <xf numFmtId="0" fontId="58" fillId="54" borderId="0" applyAlignment="1">
      <alignment vertical="center"/>
    </xf>
    <xf numFmtId="0" fontId="60" fillId="0" borderId="0"/>
    <xf numFmtId="0" fontId="60" fillId="6" borderId="0"/>
    <xf numFmtId="0" fontId="60" fillId="16" borderId="0"/>
    <xf numFmtId="0" fontId="0" fillId="15" borderId="0" applyAlignment="1">
      <alignment vertical="center"/>
    </xf>
    <xf numFmtId="0" fontId="60" fillId="18" borderId="0" applyAlignment="1">
      <alignment vertical="center"/>
    </xf>
    <xf numFmtId="0" fontId="60" fillId="16" borderId="0" applyAlignment="1">
      <alignment vertical="center"/>
    </xf>
    <xf numFmtId="0" fontId="19" fillId="0" borderId="0"/>
    <xf numFmtId="0" fontId="60" fillId="55" borderId="0"/>
    <xf numFmtId="0" fontId="60" fillId="56" borderId="0"/>
    <xf numFmtId="43" fontId="61" fillId="0" borderId="0"/>
    <xf numFmtId="0" fontId="60" fillId="15" borderId="0"/>
    <xf numFmtId="0" fontId="60" fillId="9" borderId="0"/>
    <xf numFmtId="43" fontId="2" fillId="0" borderId="0"/>
    <xf numFmtId="0" fontId="62" fillId="13" borderId="0"/>
    <xf numFmtId="0" fontId="63" fillId="0" borderId="0"/>
    <xf numFmtId="0" fontId="64" fillId="0" borderId="0"/>
    <xf numFmtId="0" fontId="0" fillId="9" borderId="0" applyAlignment="1">
      <alignment vertical="center"/>
    </xf>
    <xf numFmtId="0" fontId="0" fillId="56" borderId="0" applyAlignment="1">
      <alignment vertical="center"/>
    </xf>
    <xf numFmtId="0" fontId="2" fillId="6" borderId="0"/>
    <xf numFmtId="0" fontId="62" fillId="12" borderId="0"/>
    <xf numFmtId="0" fontId="60" fillId="11" borderId="0"/>
    <xf numFmtId="0" fontId="2" fillId="16" borderId="0"/>
    <xf numFmtId="0" fontId="2" fillId="18" borderId="0"/>
    <xf numFmtId="0" fontId="65" fillId="0" borderId="0" applyAlignment="1">
      <alignment vertical="top"/>
    </xf>
    <xf numFmtId="0" fontId="0" fillId="11" borderId="0" applyAlignment="1">
      <alignment vertical="center"/>
    </xf>
    <xf numFmtId="0" fontId="60" fillId="6" borderId="0" applyAlignment="1">
      <alignment vertical="center"/>
    </xf>
    <xf numFmtId="0" fontId="0" fillId="55" borderId="0" applyAlignment="1">
      <alignment vertical="center"/>
    </xf>
    <xf numFmtId="0" fontId="40" fillId="0" borderId="0" applyAlignment="1">
      <alignment vertical="center"/>
    </xf>
    <xf numFmtId="0" fontId="0" fillId="0" borderId="0"/>
    <xf numFmtId="0" fontId="66" fillId="0" borderId="0" applyAlignment="1">
      <alignment vertical="center"/>
    </xf>
    <xf numFmtId="0" fontId="19" fillId="0" borderId="0"/>
    <xf numFmtId="0" fontId="60" fillId="18" borderId="0"/>
    <xf numFmtId="0" fontId="67" fillId="0" borderId="18"/>
    <xf numFmtId="0" fontId="68" fillId="9" borderId="0"/>
    <xf numFmtId="0" fontId="60" fillId="18" borderId="0"/>
    <xf numFmtId="0" fontId="2" fillId="0" borderId="0"/>
    <xf numFmtId="0" fontId="62" fillId="57" borderId="0"/>
    <xf numFmtId="0" fontId="65" fillId="0" borderId="0"/>
    <xf numFmtId="0" fontId="10" fillId="0" borderId="0"/>
    <xf numFmtId="0" fontId="2" fillId="56" borderId="0"/>
    <xf numFmtId="0" fontId="2" fillId="11" borderId="0"/>
    <xf numFmtId="0" fontId="0" fillId="16" borderId="0" applyAlignment="1">
      <alignment vertical="center"/>
    </xf>
    <xf numFmtId="0" fontId="61" fillId="0" borderId="0"/>
    <xf numFmtId="0" fontId="0" fillId="0" borderId="0" applyAlignment="1">
      <alignment vertical="center"/>
    </xf>
    <xf numFmtId="0" fontId="65" fillId="0" borderId="0" applyAlignment="1">
      <alignment vertical="center"/>
    </xf>
  </cellStyleXfs>
  <cellXfs count="36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2" fillId="0" borderId="0" pivotButton="0" quotePrefix="0" xfId="83"/>
    <xf numFmtId="0" fontId="2" fillId="3" borderId="0" pivotButton="0" quotePrefix="0" xfId="83"/>
    <xf numFmtId="0" fontId="3" fillId="0" borderId="1" applyAlignment="1" pivotButton="0" quotePrefix="0" xfId="77">
      <alignment horizontal="center" vertical="center"/>
    </xf>
    <xf numFmtId="0" fontId="4" fillId="0" borderId="0" applyAlignment="1" pivotButton="0" quotePrefix="0" xfId="77">
      <alignment wrapText="1"/>
    </xf>
    <xf numFmtId="0" fontId="2" fillId="0" borderId="0" applyAlignment="1" pivotButton="0" quotePrefix="0" xfId="77">
      <alignment wrapText="1"/>
    </xf>
    <xf numFmtId="0" fontId="5" fillId="0" borderId="0" applyAlignment="1" pivotButton="0" quotePrefix="0" xfId="77">
      <alignment horizontal="center" vertical="center"/>
    </xf>
    <xf numFmtId="0" fontId="4" fillId="0" borderId="0" applyAlignment="1" pivotButton="0" quotePrefix="0" xfId="77">
      <alignment wrapText="1"/>
    </xf>
    <xf numFmtId="0" fontId="4" fillId="0" borderId="0" pivotButton="0" quotePrefix="0" xfId="77"/>
    <xf numFmtId="0" fontId="0" fillId="0" borderId="0" pivotButton="0" quotePrefix="0" xfId="77"/>
    <xf numFmtId="0" fontId="6" fillId="0" borderId="0" applyAlignment="1" pivotButton="0" quotePrefix="0" xfId="77">
      <alignment horizontal="center" vertical="center"/>
    </xf>
    <xf numFmtId="0" fontId="7" fillId="0" borderId="0" applyAlignment="1" pivotButton="0" quotePrefix="0" xfId="77">
      <alignment vertical="center" wrapText="1"/>
    </xf>
    <xf numFmtId="0" fontId="8" fillId="0" borderId="0" applyAlignment="1" pivotButton="0" quotePrefix="0" xfId="77">
      <alignment vertical="center" wrapText="1"/>
    </xf>
    <xf numFmtId="0" fontId="0" fillId="0" borderId="2" pivotButton="0" quotePrefix="0" xfId="77"/>
    <xf numFmtId="0" fontId="0" fillId="0" borderId="2" applyAlignment="1" pivotButton="0" quotePrefix="0" xfId="77">
      <alignment horizontal="left"/>
    </xf>
    <xf numFmtId="0" fontId="0" fillId="0" borderId="2" applyAlignment="1" pivotButton="0" quotePrefix="0" xfId="77">
      <alignment horizontal="left" wrapText="1"/>
    </xf>
    <xf numFmtId="0" fontId="9" fillId="0" borderId="0" applyAlignment="1" pivotButton="0" quotePrefix="0" xfId="77">
      <alignment horizontal="center" vertical="center"/>
    </xf>
    <xf numFmtId="0" fontId="2" fillId="0" borderId="0" applyAlignment="1" pivotButton="0" quotePrefix="0" xfId="77">
      <alignment vertical="center" wrapText="1"/>
    </xf>
    <xf numFmtId="0" fontId="10" fillId="0" borderId="0" applyAlignment="1" pivotButton="0" quotePrefix="0" xfId="77">
      <alignment vertical="center" wrapText="1"/>
    </xf>
    <xf numFmtId="0" fontId="11" fillId="0" borderId="0" applyAlignment="1" pivotButton="0" quotePrefix="0" xfId="77">
      <alignment vertical="center" wrapText="1"/>
    </xf>
    <xf numFmtId="0" fontId="12" fillId="0" borderId="2" applyAlignment="1" pivotButton="0" quotePrefix="0" xfId="77">
      <alignment vertical="center"/>
    </xf>
    <xf numFmtId="0" fontId="13" fillId="4" borderId="0" applyAlignment="1" pivotButton="0" quotePrefix="0" xfId="77">
      <alignment vertical="center"/>
    </xf>
    <xf numFmtId="0" fontId="14" fillId="0" borderId="0" applyAlignment="1" pivotButton="0" quotePrefix="0" xfId="77">
      <alignment vertical="center" wrapText="1"/>
    </xf>
    <xf numFmtId="0" fontId="13" fillId="3" borderId="0" applyAlignment="1" pivotButton="0" quotePrefix="0" xfId="77">
      <alignment vertical="center"/>
    </xf>
    <xf numFmtId="0" fontId="5" fillId="0" borderId="0" applyAlignment="1" pivotButton="0" quotePrefix="0" xfId="77">
      <alignment vertical="center"/>
    </xf>
    <xf numFmtId="0" fontId="13" fillId="0" borderId="2" applyAlignment="1" pivotButton="0" quotePrefix="0" xfId="77">
      <alignment vertical="center"/>
    </xf>
    <xf numFmtId="0" fontId="5" fillId="0" borderId="2" applyAlignment="1" pivotButton="0" quotePrefix="0" xfId="77">
      <alignment vertical="center"/>
    </xf>
    <xf numFmtId="0" fontId="15" fillId="0" borderId="0" applyAlignment="1" pivotButton="0" quotePrefix="0" xfId="77">
      <alignment horizontal="center" vertical="center"/>
    </xf>
    <xf numFmtId="0" fontId="13" fillId="5" borderId="0" applyAlignment="1" pivotButton="0" quotePrefix="0" xfId="77">
      <alignment vertical="center"/>
    </xf>
    <xf numFmtId="0" fontId="13" fillId="6" borderId="0" applyAlignment="1" pivotButton="0" quotePrefix="0" xfId="77">
      <alignment vertical="center"/>
    </xf>
    <xf numFmtId="0" fontId="16" fillId="0" borderId="0" applyAlignment="1" pivotButton="0" quotePrefix="0" xfId="77">
      <alignment vertical="center" wrapText="1"/>
    </xf>
    <xf numFmtId="0" fontId="13" fillId="7" borderId="0" applyAlignment="1" pivotButton="0" quotePrefix="0" xfId="77">
      <alignment vertical="center"/>
    </xf>
    <xf numFmtId="0" fontId="13" fillId="8" borderId="0" applyAlignment="1" pivotButton="0" quotePrefix="0" xfId="77">
      <alignment vertical="center"/>
    </xf>
    <xf numFmtId="0" fontId="17" fillId="0" borderId="0" applyAlignment="1" pivotButton="0" quotePrefix="0" xfId="77">
      <alignment horizontal="center" vertical="center"/>
    </xf>
    <xf numFmtId="0" fontId="4" fillId="0" borderId="0" pivotButton="0" quotePrefix="0" xfId="77"/>
    <xf numFmtId="0" fontId="18" fillId="0" borderId="0" pivotButton="0" quotePrefix="0" xfId="77"/>
    <xf numFmtId="0" fontId="12" fillId="9" borderId="0" applyAlignment="1" pivotButton="0" quotePrefix="0" xfId="77">
      <alignment vertical="center"/>
    </xf>
    <xf numFmtId="0" fontId="4" fillId="10" borderId="0" applyAlignment="1" pivotButton="0" quotePrefix="0" xfId="77">
      <alignment wrapText="1"/>
    </xf>
    <xf numFmtId="0" fontId="2" fillId="0" borderId="0" applyAlignment="1" pivotButton="0" quotePrefix="0" xfId="77">
      <alignment vertical="center"/>
    </xf>
    <xf numFmtId="0" fontId="4" fillId="0" borderId="0" pivotButton="0" quotePrefix="0" xfId="77"/>
    <xf numFmtId="0" fontId="3" fillId="0" borderId="0" applyAlignment="1" pivotButton="0" quotePrefix="0" xfId="77">
      <alignment vertical="center"/>
    </xf>
    <xf numFmtId="0" fontId="0" fillId="0" borderId="0" pivotButton="0" quotePrefix="0" xfId="77"/>
    <xf numFmtId="0" fontId="4" fillId="9" borderId="0" pivotButton="0" quotePrefix="0" xfId="77"/>
    <xf numFmtId="0" fontId="4" fillId="4" borderId="0" pivotButton="0" quotePrefix="0" xfId="77"/>
    <xf numFmtId="0" fontId="0" fillId="0" borderId="0" applyAlignment="1" pivotButton="0" quotePrefix="0" xfId="77">
      <alignment horizontal="left"/>
    </xf>
    <xf numFmtId="2" fontId="0" fillId="0" borderId="0" applyAlignment="1" pivotButton="0" quotePrefix="0" xfId="77">
      <alignment horizontal="left"/>
    </xf>
    <xf numFmtId="0" fontId="0" fillId="3" borderId="0" applyAlignment="1" pivotButton="0" quotePrefix="0" xfId="77">
      <alignment horizontal="left"/>
    </xf>
    <xf numFmtId="49" fontId="19" fillId="5" borderId="2" applyAlignment="1" pivotButton="0" quotePrefix="0" xfId="77">
      <alignment horizontal="left" vertical="center"/>
    </xf>
    <xf numFmtId="49" fontId="19" fillId="3" borderId="2" applyAlignment="1" pivotButton="0" quotePrefix="0" xfId="77">
      <alignment horizontal="left" vertical="center"/>
    </xf>
    <xf numFmtId="49" fontId="20" fillId="9" borderId="2" applyAlignment="1" pivotButton="0" quotePrefix="0" xfId="77">
      <alignment horizontal="left" vertical="center"/>
    </xf>
    <xf numFmtId="0" fontId="0" fillId="0" borderId="2" applyAlignment="1" pivotButton="0" quotePrefix="0" xfId="77">
      <alignment horizontal="left"/>
    </xf>
    <xf numFmtId="0" fontId="0" fillId="0" borderId="0" pivotButton="0" quotePrefix="0" xfId="0"/>
    <xf numFmtId="14" fontId="21" fillId="3" borderId="2" applyProtection="1" pivotButton="0" quotePrefix="0" xfId="77">
      <protection locked="0" hidden="0"/>
    </xf>
    <xf numFmtId="0" fontId="22" fillId="4" borderId="0" applyAlignment="1" pivotButton="0" quotePrefix="0" xfId="77">
      <alignment horizontal="center" vertical="center"/>
    </xf>
    <xf numFmtId="0" fontId="3" fillId="11" borderId="0" pivotButton="0" quotePrefix="0" xfId="77"/>
    <xf numFmtId="43" fontId="3" fillId="11" borderId="0" pivotButton="0" quotePrefix="0" xfId="1"/>
    <xf numFmtId="43" fontId="3" fillId="11" borderId="0" pivotButton="0" quotePrefix="0" xfId="77"/>
    <xf numFmtId="0" fontId="3" fillId="0" borderId="0" pivotButton="0" quotePrefix="0" xfId="77"/>
    <xf numFmtId="0" fontId="3" fillId="4" borderId="0" pivotButton="0" quotePrefix="0" xfId="77"/>
    <xf numFmtId="43" fontId="3" fillId="4" borderId="0" pivotButton="0" quotePrefix="0" xfId="1"/>
    <xf numFmtId="43" fontId="3" fillId="0" borderId="0" pivotButton="0" quotePrefix="0" xfId="77"/>
    <xf numFmtId="0" fontId="22" fillId="4" borderId="2" applyAlignment="1" pivotButton="0" quotePrefix="0" xfId="77">
      <alignment horizontal="center" vertical="center"/>
    </xf>
    <xf numFmtId="14" fontId="23" fillId="4" borderId="2" applyAlignment="1" pivotButton="0" quotePrefix="0" xfId="77">
      <alignment horizontal="center" vertical="center"/>
    </xf>
    <xf numFmtId="14" fontId="22" fillId="4" borderId="2" applyAlignment="1" pivotButton="0" quotePrefix="0" xfId="77">
      <alignment horizontal="center" vertical="center"/>
    </xf>
    <xf numFmtId="0" fontId="22" fillId="4" borderId="2" applyAlignment="1" pivotButton="0" quotePrefix="0" xfId="77">
      <alignment horizontal="center" vertical="center"/>
    </xf>
    <xf numFmtId="164" fontId="22" fillId="4" borderId="2" applyAlignment="1" pivotButton="0" quotePrefix="0" xfId="77">
      <alignment horizontal="center" vertical="center"/>
    </xf>
    <xf numFmtId="0" fontId="23" fillId="4" borderId="2" applyAlignment="1" pivotButton="0" quotePrefix="0" xfId="77">
      <alignment horizontal="center" vertical="center"/>
    </xf>
    <xf numFmtId="0" fontId="22" fillId="12" borderId="2" applyAlignment="1" pivotButton="0" quotePrefix="0" xfId="77">
      <alignment horizontal="center" vertical="center"/>
    </xf>
    <xf numFmtId="43" fontId="22" fillId="12" borderId="2" applyAlignment="1" pivotButton="0" quotePrefix="0" xfId="1">
      <alignment horizontal="center" vertical="center" wrapText="1"/>
    </xf>
    <xf numFmtId="0" fontId="22" fillId="12" borderId="1" applyAlignment="1" pivotButton="0" quotePrefix="0" xfId="77">
      <alignment horizontal="center" vertical="center"/>
    </xf>
    <xf numFmtId="0" fontId="22" fillId="12" borderId="2" applyAlignment="1" pivotButton="0" quotePrefix="0" xfId="77">
      <alignment horizontal="center" vertical="center"/>
    </xf>
    <xf numFmtId="0" fontId="3" fillId="0" borderId="0" pivotButton="0" quotePrefix="0" xfId="77"/>
    <xf numFmtId="49" fontId="19" fillId="0" borderId="2" applyAlignment="1" pivotButton="0" quotePrefix="0" xfId="77">
      <alignment horizontal="center" vertical="center"/>
    </xf>
    <xf numFmtId="165" fontId="19" fillId="0" borderId="2" applyAlignment="1" pivotButton="0" quotePrefix="0" xfId="77">
      <alignment horizontal="center" vertical="center"/>
    </xf>
    <xf numFmtId="166" fontId="19" fillId="0" borderId="2" applyAlignment="1" pivotButton="0" quotePrefix="0" xfId="77">
      <alignment horizontal="right" vertical="center"/>
    </xf>
    <xf numFmtId="0" fontId="3" fillId="0" borderId="2" pivotButton="0" quotePrefix="0" xfId="77"/>
    <xf numFmtId="49" fontId="24" fillId="12" borderId="2" applyAlignment="1" pivotButton="0" quotePrefix="0" xfId="77">
      <alignment horizontal="center" vertical="center"/>
    </xf>
    <xf numFmtId="43" fontId="3" fillId="12" borderId="2" pivotButton="0" quotePrefix="0" xfId="1"/>
    <xf numFmtId="0" fontId="24" fillId="12" borderId="3" applyAlignment="1" pivotButton="0" quotePrefix="0" xfId="77">
      <alignment horizontal="center" vertical="center"/>
    </xf>
    <xf numFmtId="43" fontId="3" fillId="12" borderId="4" pivotButton="0" quotePrefix="0" xfId="77"/>
    <xf numFmtId="0" fontId="3" fillId="12" borderId="5" pivotButton="0" quotePrefix="0" xfId="77"/>
    <xf numFmtId="0" fontId="3" fillId="12" borderId="2" pivotButton="0" quotePrefix="0" xfId="77"/>
    <xf numFmtId="0" fontId="3" fillId="12" borderId="0" pivotButton="0" quotePrefix="0" xfId="77"/>
    <xf numFmtId="0" fontId="3" fillId="12" borderId="0" pivotButton="0" quotePrefix="0" xfId="77"/>
    <xf numFmtId="0" fontId="3" fillId="12" borderId="0" pivotButton="0" quotePrefix="0" xfId="77"/>
    <xf numFmtId="43" fontId="3" fillId="12" borderId="6" pivotButton="0" quotePrefix="0" xfId="77"/>
    <xf numFmtId="43" fontId="3" fillId="13" borderId="7" pivotButton="0" quotePrefix="0" xfId="77"/>
    <xf numFmtId="0" fontId="24" fillId="12" borderId="2" applyAlignment="1" pivotButton="0" quotePrefix="0" xfId="77">
      <alignment horizontal="center" vertical="center"/>
    </xf>
    <xf numFmtId="166" fontId="20" fillId="0" borderId="2" applyAlignment="1" pivotButton="0" quotePrefix="0" xfId="80">
      <alignment horizontal="right" vertical="center"/>
    </xf>
    <xf numFmtId="49" fontId="19" fillId="0" borderId="0" applyAlignment="1" pivotButton="0" quotePrefix="0" xfId="77">
      <alignment horizontal="center" vertical="center"/>
    </xf>
    <xf numFmtId="0" fontId="19" fillId="0" borderId="2" applyAlignment="1" pivotButton="0" quotePrefix="0" xfId="77">
      <alignment horizontal="center" vertical="center"/>
    </xf>
    <xf numFmtId="43" fontId="3" fillId="4" borderId="7" pivotButton="0" quotePrefix="0" xfId="77"/>
    <xf numFmtId="0" fontId="0" fillId="0" borderId="2" pivotButton="0" quotePrefix="0" xfId="77"/>
    <xf numFmtId="43" fontId="3" fillId="0" borderId="0" pivotButton="0" quotePrefix="0" xfId="1"/>
    <xf numFmtId="0" fontId="3" fillId="14" borderId="0" pivotButton="0" quotePrefix="0" xfId="77"/>
    <xf numFmtId="0" fontId="3" fillId="4" borderId="0" pivotButton="0" quotePrefix="0" xfId="77"/>
    <xf numFmtId="43" fontId="3" fillId="4" borderId="0" pivotButton="0" quotePrefix="0" xfId="1"/>
    <xf numFmtId="0" fontId="0" fillId="15" borderId="2" pivotButton="0" quotePrefix="0" xfId="77"/>
    <xf numFmtId="0" fontId="3" fillId="0" borderId="0" pivotButton="0" quotePrefix="0" xfId="77"/>
    <xf numFmtId="43" fontId="3" fillId="4" borderId="0" pivotButton="0" quotePrefix="0" xfId="77"/>
    <xf numFmtId="0" fontId="0" fillId="12" borderId="2" pivotButton="0" quotePrefix="0" xfId="77"/>
    <xf numFmtId="166" fontId="3" fillId="0" borderId="0" pivotButton="0" quotePrefix="0" xfId="77"/>
    <xf numFmtId="0" fontId="3" fillId="6" borderId="0" applyAlignment="1" pivotButton="0" quotePrefix="0" xfId="77">
      <alignment vertical="center" wrapText="1"/>
    </xf>
    <xf numFmtId="14" fontId="3" fillId="6" borderId="0" applyAlignment="1" pivotButton="0" quotePrefix="0" xfId="77">
      <alignment vertical="center" wrapText="1"/>
    </xf>
    <xf numFmtId="0" fontId="3" fillId="15" borderId="0" applyAlignment="1" pivotButton="0" quotePrefix="0" xfId="77">
      <alignment vertical="center" wrapText="1"/>
    </xf>
    <xf numFmtId="0" fontId="3" fillId="16" borderId="0" applyAlignment="1" pivotButton="0" quotePrefix="0" xfId="77">
      <alignment vertical="center" wrapText="1"/>
    </xf>
    <xf numFmtId="0" fontId="3" fillId="16" borderId="0" applyAlignment="1" pivotButton="0" quotePrefix="0" xfId="77">
      <alignment vertical="center" wrapText="1"/>
    </xf>
    <xf numFmtId="0" fontId="3" fillId="0" borderId="0" applyAlignment="1" pivotButton="0" quotePrefix="0" xfId="77">
      <alignment wrapText="1"/>
    </xf>
    <xf numFmtId="14" fontId="3" fillId="0" borderId="0" pivotButton="0" quotePrefix="0" xfId="77"/>
    <xf numFmtId="0" fontId="3" fillId="0" borderId="0" pivotButton="0" quotePrefix="0" xfId="77"/>
    <xf numFmtId="0" fontId="25" fillId="17" borderId="2" applyAlignment="1" pivotButton="0" quotePrefix="0" xfId="77">
      <alignment horizontal="center" vertical="center"/>
    </xf>
    <xf numFmtId="0" fontId="15" fillId="9" borderId="2" applyAlignment="1" pivotButton="0" quotePrefix="0" xfId="77">
      <alignment horizontal="center" vertical="center"/>
    </xf>
    <xf numFmtId="0" fontId="25" fillId="9" borderId="2" applyAlignment="1" pivotButton="0" quotePrefix="0" xfId="77">
      <alignment horizontal="center" vertical="center"/>
    </xf>
    <xf numFmtId="0" fontId="15" fillId="9" borderId="2" applyAlignment="1" pivotButton="0" quotePrefix="0" xfId="77">
      <alignment horizontal="left" vertical="center"/>
    </xf>
    <xf numFmtId="0" fontId="25" fillId="18" borderId="2" applyAlignment="1" pivotButton="0" quotePrefix="0" xfId="77">
      <alignment horizontal="center" vertical="center"/>
    </xf>
    <xf numFmtId="14" fontId="15" fillId="18" borderId="2" applyAlignment="1" pivotButton="0" quotePrefix="0" xfId="77">
      <alignment horizontal="center" vertical="center"/>
    </xf>
    <xf numFmtId="14" fontId="25" fillId="18" borderId="2" applyAlignment="1" pivotButton="0" quotePrefix="0" xfId="77">
      <alignment horizontal="center" vertical="center"/>
    </xf>
    <xf numFmtId="0" fontId="25" fillId="18" borderId="2" applyAlignment="1" pivotButton="0" quotePrefix="0" xfId="77">
      <alignment horizontal="center" vertical="center"/>
    </xf>
    <xf numFmtId="0" fontId="15" fillId="18" borderId="2" applyAlignment="1" pivotButton="0" quotePrefix="0" xfId="77">
      <alignment horizontal="center" vertical="center"/>
    </xf>
    <xf numFmtId="0" fontId="25" fillId="4" borderId="2" applyAlignment="1" pivotButton="0" quotePrefix="0" xfId="77">
      <alignment horizontal="center" vertical="center"/>
    </xf>
    <xf numFmtId="0" fontId="25" fillId="5" borderId="2" applyAlignment="1" pivotButton="0" quotePrefix="0" xfId="77">
      <alignment horizontal="center" vertical="center"/>
    </xf>
    <xf numFmtId="0" fontId="2" fillId="0" borderId="2" applyAlignment="1" pivotButton="0" quotePrefix="0" xfId="77">
      <alignment horizontal="center" vertical="center"/>
    </xf>
    <xf numFmtId="0" fontId="3" fillId="0" borderId="2" pivotButton="0" quotePrefix="0" xfId="77"/>
    <xf numFmtId="49" fontId="26" fillId="0" borderId="2" applyAlignment="1" pivotButton="0" quotePrefix="0" xfId="77">
      <alignment horizontal="center" vertical="center"/>
    </xf>
    <xf numFmtId="14" fontId="3" fillId="0" borderId="2" pivotButton="0" quotePrefix="0" xfId="77"/>
    <xf numFmtId="0" fontId="27" fillId="0" borderId="2" pivotButton="0" quotePrefix="0" xfId="77"/>
    <xf numFmtId="43" fontId="19" fillId="0" borderId="8" applyAlignment="1" pivotButton="0" quotePrefix="0" xfId="1">
      <alignment horizontal="center" vertical="center"/>
    </xf>
    <xf numFmtId="0" fontId="24" fillId="0" borderId="2" applyAlignment="1" pivotButton="0" quotePrefix="0" xfId="77">
      <alignment horizontal="center" vertical="center"/>
    </xf>
    <xf numFmtId="43" fontId="3" fillId="0" borderId="2" pivotButton="0" quotePrefix="0" xfId="77"/>
    <xf numFmtId="49" fontId="26" fillId="0" borderId="2" applyAlignment="1" pivotButton="0" quotePrefix="0" xfId="77">
      <alignment vertical="center"/>
    </xf>
    <xf numFmtId="0" fontId="3" fillId="4" borderId="2" pivotButton="0" quotePrefix="0" xfId="77"/>
    <xf numFmtId="49" fontId="19" fillId="4" borderId="2" applyAlignment="1" pivotButton="0" quotePrefix="0" xfId="77">
      <alignment horizontal="center" vertical="center"/>
    </xf>
    <xf numFmtId="49" fontId="26" fillId="4" borderId="2" applyAlignment="1" pivotButton="0" quotePrefix="0" xfId="77">
      <alignment horizontal="center" vertical="center"/>
    </xf>
    <xf numFmtId="0" fontId="0" fillId="4" borderId="2" applyAlignment="1" pivotButton="0" quotePrefix="0" xfId="77">
      <alignment horizontal="left"/>
    </xf>
    <xf numFmtId="14" fontId="3" fillId="4" borderId="2" pivotButton="0" quotePrefix="0" xfId="77"/>
    <xf numFmtId="0" fontId="0" fillId="4" borderId="2" pivotButton="0" quotePrefix="0" xfId="77"/>
    <xf numFmtId="0" fontId="19" fillId="4" borderId="2" applyAlignment="1" pivotButton="0" quotePrefix="0" xfId="77">
      <alignment horizontal="center" vertical="center"/>
    </xf>
    <xf numFmtId="43" fontId="19" fillId="4" borderId="8" applyAlignment="1" pivotButton="0" quotePrefix="0" xfId="1">
      <alignment horizontal="center" vertical="center"/>
    </xf>
    <xf numFmtId="0" fontId="24" fillId="4" borderId="2" applyAlignment="1" pivotButton="0" quotePrefix="0" xfId="77">
      <alignment horizontal="center" vertical="center"/>
    </xf>
    <xf numFmtId="43" fontId="3" fillId="4" borderId="2" pivotButton="0" quotePrefix="0" xfId="77"/>
    <xf numFmtId="0" fontId="3" fillId="3" borderId="2" pivotButton="0" quotePrefix="0" xfId="77"/>
    <xf numFmtId="49" fontId="19" fillId="3" borderId="2" applyAlignment="1" pivotButton="0" quotePrefix="0" xfId="77">
      <alignment horizontal="center" vertical="center"/>
    </xf>
    <xf numFmtId="49" fontId="26" fillId="3" borderId="2" applyAlignment="1" pivotButton="0" quotePrefix="0" xfId="77">
      <alignment horizontal="center" vertical="center"/>
    </xf>
    <xf numFmtId="0" fontId="0" fillId="3" borderId="2" applyAlignment="1" pivotButton="0" quotePrefix="0" xfId="77">
      <alignment horizontal="left"/>
    </xf>
    <xf numFmtId="14" fontId="3" fillId="3" borderId="2" pivotButton="0" quotePrefix="0" xfId="77"/>
    <xf numFmtId="0" fontId="0" fillId="3" borderId="2" pivotButton="0" quotePrefix="0" xfId="77"/>
    <xf numFmtId="43" fontId="19" fillId="3" borderId="8" applyAlignment="1" pivotButton="0" quotePrefix="0" xfId="1">
      <alignment horizontal="center" vertical="center"/>
    </xf>
    <xf numFmtId="0" fontId="24" fillId="3" borderId="2" applyAlignment="1" pivotButton="0" quotePrefix="0" xfId="77">
      <alignment horizontal="center" vertical="center"/>
    </xf>
    <xf numFmtId="43" fontId="3" fillId="3" borderId="2" pivotButton="0" quotePrefix="0" xfId="77"/>
    <xf numFmtId="0" fontId="19" fillId="3" borderId="2" applyAlignment="1" pivotButton="0" quotePrefix="0" xfId="77">
      <alignment horizontal="center" vertical="center"/>
    </xf>
    <xf numFmtId="0" fontId="3" fillId="3" borderId="0" pivotButton="0" quotePrefix="0" xfId="77"/>
    <xf numFmtId="0" fontId="27" fillId="4" borderId="2" pivotButton="0" quotePrefix="0" xfId="77"/>
    <xf numFmtId="0" fontId="0" fillId="12" borderId="2" applyAlignment="1" pivotButton="0" quotePrefix="0" xfId="77">
      <alignment horizontal="left"/>
    </xf>
    <xf numFmtId="0" fontId="0" fillId="0" borderId="2" pivotButton="0" quotePrefix="0" xfId="77"/>
    <xf numFmtId="0" fontId="0" fillId="15" borderId="2" applyAlignment="1" pivotButton="0" quotePrefix="0" xfId="77">
      <alignment horizontal="left"/>
    </xf>
    <xf numFmtId="49" fontId="0" fillId="4" borderId="2" pivotButton="0" quotePrefix="0" xfId="77"/>
    <xf numFmtId="0" fontId="3" fillId="6" borderId="2" pivotButton="0" quotePrefix="0" xfId="77"/>
    <xf numFmtId="49" fontId="19" fillId="6" borderId="2" applyAlignment="1" pivotButton="0" quotePrefix="0" xfId="77">
      <alignment horizontal="center" vertical="center"/>
    </xf>
    <xf numFmtId="49" fontId="26" fillId="6" borderId="2" applyAlignment="1" pivotButton="0" quotePrefix="0" xfId="77">
      <alignment horizontal="center" vertical="center"/>
    </xf>
    <xf numFmtId="0" fontId="0" fillId="6" borderId="2" applyAlignment="1" pivotButton="0" quotePrefix="0" xfId="77">
      <alignment horizontal="left"/>
    </xf>
    <xf numFmtId="14" fontId="3" fillId="6" borderId="2" pivotButton="0" quotePrefix="0" xfId="77"/>
    <xf numFmtId="0" fontId="0" fillId="6" borderId="2" pivotButton="0" quotePrefix="0" xfId="77"/>
    <xf numFmtId="0" fontId="27" fillId="6" borderId="2" pivotButton="0" quotePrefix="0" xfId="77"/>
    <xf numFmtId="0" fontId="19" fillId="6" borderId="2" applyAlignment="1" pivotButton="0" quotePrefix="0" xfId="77">
      <alignment horizontal="center" vertical="center"/>
    </xf>
    <xf numFmtId="43" fontId="19" fillId="6" borderId="8" applyAlignment="1" pivotButton="0" quotePrefix="0" xfId="1">
      <alignment horizontal="center" vertical="center"/>
    </xf>
    <xf numFmtId="0" fontId="24" fillId="6" borderId="2" applyAlignment="1" pivotButton="0" quotePrefix="0" xfId="77">
      <alignment horizontal="center" vertical="center"/>
    </xf>
    <xf numFmtId="43" fontId="3" fillId="6" borderId="2" pivotButton="0" quotePrefix="0" xfId="77"/>
    <xf numFmtId="49" fontId="26" fillId="3" borderId="2" applyAlignment="1" pivotButton="0" quotePrefix="0" xfId="77">
      <alignment vertical="center"/>
    </xf>
    <xf numFmtId="49" fontId="26" fillId="4" borderId="2" applyAlignment="1" pivotButton="0" quotePrefix="0" xfId="77">
      <alignment vertical="center"/>
    </xf>
    <xf numFmtId="0" fontId="0" fillId="0" borderId="0" applyAlignment="1" pivotButton="0" quotePrefix="0" xfId="77">
      <alignment horizontal="left"/>
    </xf>
    <xf numFmtId="0" fontId="0" fillId="4" borderId="2" pivotButton="0" quotePrefix="0" xfId="77"/>
    <xf numFmtId="0" fontId="27" fillId="3" borderId="2" pivotButton="0" quotePrefix="0" xfId="77"/>
    <xf numFmtId="0" fontId="28" fillId="0" borderId="2" pivotButton="0" quotePrefix="0" xfId="77"/>
    <xf numFmtId="49" fontId="29" fillId="0" borderId="2" applyAlignment="1" pivotButton="0" quotePrefix="0" xfId="77">
      <alignment horizontal="center" vertical="center"/>
    </xf>
    <xf numFmtId="49" fontId="18" fillId="0" borderId="2" applyAlignment="1" pivotButton="0" quotePrefix="0" xfId="77">
      <alignment horizontal="center" vertical="center"/>
    </xf>
    <xf numFmtId="0" fontId="30" fillId="0" borderId="2" applyAlignment="1" pivotButton="0" quotePrefix="0" xfId="77">
      <alignment horizontal="left"/>
    </xf>
    <xf numFmtId="14" fontId="28" fillId="0" borderId="2" pivotButton="0" quotePrefix="0" xfId="77"/>
    <xf numFmtId="0" fontId="30" fillId="0" borderId="2" pivotButton="0" quotePrefix="0" xfId="77"/>
    <xf numFmtId="0" fontId="29" fillId="0" borderId="2" applyAlignment="1" pivotButton="0" quotePrefix="0" xfId="77">
      <alignment horizontal="center" vertical="center"/>
    </xf>
    <xf numFmtId="43" fontId="29" fillId="0" borderId="8" applyAlignment="1" pivotButton="0" quotePrefix="0" xfId="1">
      <alignment horizontal="center" vertical="center"/>
    </xf>
    <xf numFmtId="0" fontId="28" fillId="0" borderId="2" applyAlignment="1" pivotButton="0" quotePrefix="0" xfId="77">
      <alignment horizontal="center" vertical="center"/>
    </xf>
    <xf numFmtId="43" fontId="28" fillId="0" borderId="2" pivotButton="0" quotePrefix="0" xfId="77"/>
    <xf numFmtId="0" fontId="28" fillId="0" borderId="2" pivotButton="0" quotePrefix="0" xfId="77"/>
    <xf numFmtId="0" fontId="27" fillId="0" borderId="0" pivotButton="0" quotePrefix="0" xfId="0"/>
    <xf numFmtId="0" fontId="27" fillId="0" borderId="0" pivotButton="0" quotePrefix="0" xfId="0"/>
    <xf numFmtId="0" fontId="0" fillId="0" borderId="0" pivotButton="0" quotePrefix="0" xfId="0"/>
    <xf numFmtId="0" fontId="27" fillId="0" borderId="0" pivotButton="0" quotePrefix="0" xfId="0"/>
    <xf numFmtId="0" fontId="27" fillId="0" borderId="0" pivotButton="0" quotePrefix="0" xfId="0"/>
    <xf numFmtId="0" fontId="27" fillId="0" borderId="0" applyAlignment="1" pivotButton="0" quotePrefix="0" xfId="0">
      <alignment horizontal="left"/>
    </xf>
    <xf numFmtId="43" fontId="27" fillId="0" borderId="0" pivotButton="0" quotePrefix="0" xfId="1"/>
    <xf numFmtId="0" fontId="27" fillId="19" borderId="0" pivotButton="0" quotePrefix="0" xfId="0"/>
    <xf numFmtId="0" fontId="31" fillId="4" borderId="0" applyProtection="1" pivotButton="0" quotePrefix="0" xfId="77">
      <protection locked="0" hidden="0"/>
    </xf>
    <xf numFmtId="43" fontId="24" fillId="4" borderId="0" applyAlignment="1" applyProtection="1" pivotButton="0" quotePrefix="0" xfId="1">
      <alignment horizontal="center"/>
      <protection locked="0" hidden="0"/>
    </xf>
    <xf numFmtId="43" fontId="24" fillId="11" borderId="0" applyAlignment="1" applyProtection="1" pivotButton="0" quotePrefix="0" xfId="1">
      <alignment horizontal="left"/>
      <protection locked="0" hidden="0"/>
    </xf>
    <xf numFmtId="43" fontId="31" fillId="11" borderId="0" applyAlignment="1" applyProtection="1" pivotButton="0" quotePrefix="0" xfId="1">
      <alignment horizontal="left" wrapText="1"/>
      <protection locked="0" hidden="0"/>
    </xf>
    <xf numFmtId="0" fontId="27" fillId="0" borderId="0" applyAlignment="1" applyProtection="1" pivotButton="0" quotePrefix="0" xfId="77">
      <alignment horizontal="left"/>
      <protection locked="0" hidden="0"/>
    </xf>
    <xf numFmtId="0" fontId="24" fillId="0" borderId="0" applyAlignment="1" applyProtection="1" pivotButton="0" quotePrefix="0" xfId="77">
      <alignment horizontal="left"/>
      <protection locked="0" hidden="0"/>
    </xf>
    <xf numFmtId="43" fontId="24" fillId="0" borderId="0" applyAlignment="1" applyProtection="1" pivotButton="0" quotePrefix="0" xfId="77">
      <alignment horizontal="left"/>
      <protection locked="0" hidden="0"/>
    </xf>
    <xf numFmtId="43" fontId="24" fillId="4" borderId="0" applyAlignment="1" applyProtection="1" pivotButton="0" quotePrefix="0" xfId="77">
      <alignment horizontal="center"/>
      <protection locked="0" hidden="0"/>
    </xf>
    <xf numFmtId="43" fontId="24" fillId="11" borderId="0" applyAlignment="1" applyProtection="1" pivotButton="0" quotePrefix="0" xfId="77">
      <alignment horizontal="left"/>
      <protection locked="0" hidden="0"/>
    </xf>
    <xf numFmtId="43" fontId="24" fillId="0" borderId="0" applyAlignment="1" applyProtection="1" pivotButton="0" quotePrefix="0" xfId="1">
      <alignment horizontal="left"/>
      <protection locked="0" hidden="0"/>
    </xf>
    <xf numFmtId="0" fontId="24" fillId="0" borderId="0" pivotButton="0" quotePrefix="0" xfId="77"/>
    <xf numFmtId="43" fontId="24" fillId="0" borderId="0" pivotButton="0" quotePrefix="0" xfId="77"/>
    <xf numFmtId="0" fontId="27" fillId="0" borderId="0" applyProtection="1" pivotButton="0" quotePrefix="0" xfId="77">
      <protection locked="0" hidden="0"/>
    </xf>
    <xf numFmtId="0" fontId="0" fillId="0" borderId="0" pivotButton="0" quotePrefix="0" xfId="0"/>
    <xf numFmtId="43" fontId="3" fillId="0" borderId="0" applyAlignment="1" applyProtection="1" pivotButton="0" quotePrefix="0" xfId="1">
      <alignment horizontal="center"/>
      <protection locked="0" hidden="0"/>
    </xf>
    <xf numFmtId="43" fontId="3" fillId="0" borderId="0" applyAlignment="1" applyProtection="1" pivotButton="0" quotePrefix="0" xfId="77">
      <alignment horizontal="center"/>
      <protection locked="0" hidden="0"/>
    </xf>
    <xf numFmtId="43" fontId="3" fillId="0" borderId="0" applyProtection="1" pivotButton="0" quotePrefix="0" xfId="77">
      <protection locked="0" hidden="0"/>
    </xf>
    <xf numFmtId="43" fontId="0" fillId="0" borderId="0" pivotButton="0" quotePrefix="0" xfId="1"/>
    <xf numFmtId="43" fontId="3" fillId="0" borderId="0" applyAlignment="1" applyProtection="1" pivotButton="0" quotePrefix="0" xfId="77">
      <alignment horizontal="left"/>
      <protection locked="0" hidden="0"/>
    </xf>
    <xf numFmtId="0" fontId="0" fillId="19" borderId="0" pivotButton="0" quotePrefix="0" xfId="0"/>
    <xf numFmtId="0" fontId="3" fillId="0" borderId="0" pivotButton="0" quotePrefix="0" xfId="77"/>
    <xf numFmtId="0" fontId="24" fillId="6" borderId="0" applyAlignment="1" applyProtection="1" pivotButton="0" quotePrefix="0" xfId="77">
      <alignment wrapText="1"/>
      <protection locked="0" hidden="0"/>
    </xf>
    <xf numFmtId="0" fontId="24" fillId="6" borderId="0" applyAlignment="1" applyProtection="1" pivotButton="0" quotePrefix="0" xfId="77">
      <alignment horizontal="center" wrapText="1"/>
      <protection locked="0" hidden="0"/>
    </xf>
    <xf numFmtId="0" fontId="31" fillId="6" borderId="0" applyAlignment="1" applyProtection="1" pivotButton="0" quotePrefix="0" xfId="77">
      <alignment horizontal="center" wrapText="1"/>
      <protection locked="0" hidden="0"/>
    </xf>
    <xf numFmtId="0" fontId="31" fillId="6" borderId="0" applyAlignment="1" applyProtection="1" pivotButton="0" quotePrefix="0" xfId="77">
      <alignment wrapText="1"/>
      <protection locked="0" hidden="0"/>
    </xf>
    <xf numFmtId="0" fontId="31" fillId="15" borderId="0" applyAlignment="1" applyProtection="1" pivotButton="0" quotePrefix="0" xfId="77">
      <alignment horizontal="left" wrapText="1"/>
      <protection locked="0" hidden="0"/>
    </xf>
    <xf numFmtId="0" fontId="24" fillId="0" borderId="0" applyAlignment="1" applyProtection="1" pivotButton="0" quotePrefix="0" xfId="77">
      <alignment horizontal="left" wrapText="1"/>
      <protection locked="0" hidden="0"/>
    </xf>
    <xf numFmtId="0" fontId="24" fillId="15" borderId="0" applyAlignment="1" applyProtection="1" pivotButton="0" quotePrefix="0" xfId="77">
      <alignment horizontal="left" wrapText="1"/>
      <protection locked="0" hidden="0"/>
    </xf>
    <xf numFmtId="43" fontId="31" fillId="16" borderId="0" applyAlignment="1" applyProtection="1" pivotButton="0" quotePrefix="0" xfId="1">
      <alignment horizontal="left" wrapText="1"/>
      <protection locked="0" hidden="0"/>
    </xf>
    <xf numFmtId="14" fontId="24" fillId="6" borderId="0" applyAlignment="1" applyProtection="1" pivotButton="0" quotePrefix="0" xfId="77">
      <alignment horizontal="left" wrapText="1"/>
      <protection locked="0" hidden="0"/>
    </xf>
    <xf numFmtId="0" fontId="24" fillId="6" borderId="0" applyAlignment="1" applyProtection="1" pivotButton="0" quotePrefix="0" xfId="77">
      <alignment horizontal="left" wrapText="1"/>
      <protection locked="0" hidden="0"/>
    </xf>
    <xf numFmtId="0" fontId="24" fillId="19" borderId="0" applyAlignment="1" applyProtection="1" pivotButton="0" quotePrefix="0" xfId="77">
      <alignment horizontal="left" wrapText="1"/>
      <protection locked="0" hidden="0"/>
    </xf>
    <xf numFmtId="0" fontId="31" fillId="16" borderId="0" applyAlignment="1" pivotButton="0" quotePrefix="0" xfId="77">
      <alignment wrapText="1"/>
    </xf>
    <xf numFmtId="0" fontId="31" fillId="16" borderId="0" applyAlignment="1" pivotButton="0" quotePrefix="0" xfId="77">
      <alignment wrapText="1"/>
    </xf>
    <xf numFmtId="0" fontId="24" fillId="16" borderId="0" applyAlignment="1" pivotButton="0" quotePrefix="0" xfId="77">
      <alignment wrapText="1"/>
    </xf>
    <xf numFmtId="0" fontId="24" fillId="15" borderId="0" applyAlignment="1" pivotButton="0" quotePrefix="0" xfId="77">
      <alignment wrapText="1"/>
    </xf>
    <xf numFmtId="0" fontId="24" fillId="4" borderId="0" applyProtection="1" pivotButton="0" quotePrefix="0" xfId="77">
      <protection locked="0" hidden="0"/>
    </xf>
    <xf numFmtId="0" fontId="24" fillId="0" borderId="0" applyAlignment="1" applyProtection="1" pivotButton="0" quotePrefix="0" xfId="77">
      <alignment horizontal="center" wrapText="1"/>
      <protection locked="0" hidden="0"/>
    </xf>
    <xf numFmtId="14" fontId="24" fillId="0" borderId="0" applyProtection="1" pivotButton="0" quotePrefix="0" xfId="77">
      <protection locked="0" hidden="0"/>
    </xf>
    <xf numFmtId="0" fontId="24" fillId="0" borderId="0" applyAlignment="1" applyProtection="1" pivotButton="0" quotePrefix="0" xfId="77">
      <alignment horizontal="left" wrapText="1"/>
      <protection locked="0" hidden="0"/>
    </xf>
    <xf numFmtId="14" fontId="24" fillId="0" borderId="0" applyAlignment="1" applyProtection="1" pivotButton="0" quotePrefix="0" xfId="77">
      <alignment horizontal="left"/>
      <protection locked="0" hidden="0"/>
    </xf>
    <xf numFmtId="0" fontId="24" fillId="0" borderId="0" pivotButton="0" quotePrefix="0" xfId="77"/>
    <xf numFmtId="0" fontId="24" fillId="0" borderId="0" applyAlignment="1" pivotButton="0" quotePrefix="0" xfId="77">
      <alignment wrapText="1"/>
    </xf>
    <xf numFmtId="0" fontId="24" fillId="0" borderId="2" applyProtection="1" pivotButton="0" quotePrefix="0" xfId="77">
      <protection locked="0" hidden="0"/>
    </xf>
    <xf numFmtId="0" fontId="32" fillId="20" borderId="2" applyAlignment="1" applyProtection="1" pivotButton="0" quotePrefix="0" xfId="77">
      <alignment horizontal="center"/>
      <protection locked="0" hidden="0"/>
    </xf>
    <xf numFmtId="0" fontId="33" fillId="20" borderId="2" applyAlignment="1" applyProtection="1" pivotButton="0" quotePrefix="0" xfId="77">
      <alignment horizontal="center"/>
      <protection locked="0" hidden="0"/>
    </xf>
    <xf numFmtId="0" fontId="32" fillId="9" borderId="2" applyAlignment="1" applyProtection="1" pivotButton="0" quotePrefix="0" xfId="77">
      <alignment horizontal="center"/>
      <protection locked="0" hidden="0"/>
    </xf>
    <xf numFmtId="0" fontId="34" fillId="18" borderId="2" applyAlignment="1" applyProtection="1" pivotButton="0" quotePrefix="0" xfId="77">
      <alignment horizontal="center"/>
      <protection locked="0" hidden="0"/>
    </xf>
    <xf numFmtId="14" fontId="32" fillId="18" borderId="2" applyAlignment="1" applyProtection="1" pivotButton="0" quotePrefix="0" xfId="77">
      <alignment horizontal="center"/>
      <protection locked="0" hidden="0"/>
    </xf>
    <xf numFmtId="0" fontId="33" fillId="0" borderId="2" applyAlignment="1" applyProtection="1" pivotButton="0" quotePrefix="0" xfId="77">
      <alignment horizontal="center"/>
      <protection locked="0" hidden="0"/>
    </xf>
    <xf numFmtId="0" fontId="32" fillId="18" borderId="2" applyAlignment="1" applyProtection="1" pivotButton="0" quotePrefix="0" xfId="77">
      <alignment horizontal="left"/>
      <protection locked="0" hidden="0"/>
    </xf>
    <xf numFmtId="0" fontId="32" fillId="18" borderId="2" applyAlignment="1" applyProtection="1" pivotButton="0" quotePrefix="0" xfId="77">
      <alignment horizontal="center"/>
      <protection locked="0" hidden="0"/>
    </xf>
    <xf numFmtId="43" fontId="32" fillId="18" borderId="2" applyAlignment="1" applyProtection="1" pivotButton="0" quotePrefix="0" xfId="1">
      <alignment horizontal="center"/>
      <protection locked="0" hidden="0"/>
    </xf>
    <xf numFmtId="0" fontId="32" fillId="9" borderId="2" applyAlignment="1" applyProtection="1" pivotButton="0" quotePrefix="0" xfId="77">
      <alignment horizontal="right"/>
      <protection locked="0" hidden="0"/>
    </xf>
    <xf numFmtId="1" fontId="27" fillId="0" borderId="2" applyAlignment="1" applyProtection="1" pivotButton="0" quotePrefix="0" xfId="77">
      <alignment horizontal="left"/>
      <protection locked="0" hidden="0"/>
    </xf>
    <xf numFmtId="0" fontId="35" fillId="0" borderId="2" applyAlignment="1" applyProtection="1" pivotButton="0" quotePrefix="0" xfId="77">
      <alignment horizontal="center"/>
      <protection locked="0" hidden="0"/>
    </xf>
    <xf numFmtId="0" fontId="27" fillId="0" borderId="2" applyAlignment="1" applyProtection="1" pivotButton="0" quotePrefix="0" xfId="77">
      <alignment horizontal="center"/>
      <protection locked="0" hidden="0"/>
    </xf>
    <xf numFmtId="0" fontId="32" fillId="21" borderId="5" applyAlignment="1" applyProtection="1" pivotButton="0" quotePrefix="0" xfId="77">
      <alignment horizontal="center"/>
      <protection locked="0" hidden="0"/>
    </xf>
    <xf numFmtId="0" fontId="33" fillId="22" borderId="5" applyAlignment="1" applyProtection="1" pivotButton="0" quotePrefix="0" xfId="77">
      <alignment horizontal="center"/>
      <protection locked="0" hidden="0"/>
    </xf>
    <xf numFmtId="0" fontId="32" fillId="18" borderId="5" applyAlignment="1" pivotButton="0" quotePrefix="0" xfId="77">
      <alignment horizontal="center"/>
    </xf>
    <xf numFmtId="0" fontId="33" fillId="4" borderId="2" applyAlignment="1" pivotButton="0" quotePrefix="0" xfId="77">
      <alignment horizontal="center"/>
    </xf>
    <xf numFmtId="0" fontId="33" fillId="3" borderId="2" applyAlignment="1" pivotButton="0" quotePrefix="0" xfId="77">
      <alignment horizontal="center"/>
    </xf>
    <xf numFmtId="0" fontId="26" fillId="3" borderId="2" applyAlignment="1" pivotButton="0" quotePrefix="0" xfId="77">
      <alignment horizontal="center"/>
    </xf>
    <xf numFmtId="0" fontId="27" fillId="0" borderId="2" applyProtection="1" pivotButton="0" quotePrefix="0" xfId="77">
      <protection locked="0" hidden="0"/>
    </xf>
    <xf numFmtId="0" fontId="26" fillId="0" borderId="2" applyAlignment="1" applyProtection="1" pivotButton="0" quotePrefix="0" xfId="77">
      <alignment horizontal="center"/>
      <protection locked="0" hidden="0"/>
    </xf>
    <xf numFmtId="0" fontId="24" fillId="3" borderId="2" applyAlignment="1" applyProtection="1" pivotButton="0" quotePrefix="0" xfId="77">
      <alignment horizontal="center"/>
      <protection locked="0" hidden="0"/>
    </xf>
    <xf numFmtId="0" fontId="27" fillId="0" borderId="2" applyProtection="1" pivotButton="0" quotePrefix="0" xfId="77">
      <protection locked="0" hidden="0"/>
    </xf>
    <xf numFmtId="14" fontId="24" fillId="3" borderId="2" applyProtection="1" pivotButton="0" quotePrefix="0" xfId="77">
      <protection locked="0" hidden="0"/>
    </xf>
    <xf numFmtId="0" fontId="27" fillId="0" borderId="2" pivotButton="0" quotePrefix="0" xfId="0"/>
    <xf numFmtId="0" fontId="27" fillId="3" borderId="2" applyAlignment="1" applyProtection="1" pivotButton="0" quotePrefix="0" xfId="77">
      <alignment horizontal="left"/>
      <protection locked="0" hidden="0"/>
    </xf>
    <xf numFmtId="0" fontId="27" fillId="0" borderId="2" applyAlignment="1" pivotButton="0" quotePrefix="0" xfId="0">
      <alignment horizontal="left" vertical="center" wrapText="1"/>
    </xf>
    <xf numFmtId="0" fontId="27" fillId="0" borderId="2" applyAlignment="1" pivotButton="0" quotePrefix="0" xfId="0">
      <alignment horizontal="left"/>
    </xf>
    <xf numFmtId="0" fontId="27" fillId="0" borderId="2" applyAlignment="1" applyProtection="1" pivotButton="0" quotePrefix="0" xfId="77">
      <alignment horizontal="left"/>
      <protection locked="0" hidden="0"/>
    </xf>
    <xf numFmtId="43" fontId="27" fillId="19" borderId="2" applyAlignment="1" applyProtection="1" pivotButton="0" quotePrefix="0" xfId="1">
      <alignment horizontal="left"/>
      <protection locked="0" hidden="0"/>
    </xf>
    <xf numFmtId="0" fontId="27" fillId="19" borderId="0" applyAlignment="1" applyProtection="1" pivotButton="0" quotePrefix="0" xfId="77">
      <alignment horizontal="left"/>
      <protection locked="0" hidden="0"/>
    </xf>
    <xf numFmtId="43" fontId="19" fillId="3" borderId="8" applyAlignment="1" pivotButton="0" quotePrefix="0" xfId="1">
      <alignment horizontal="center"/>
    </xf>
    <xf numFmtId="0" fontId="24" fillId="3" borderId="2" applyAlignment="1" pivotButton="0" quotePrefix="0" xfId="77">
      <alignment horizontal="center"/>
    </xf>
    <xf numFmtId="43" fontId="24" fillId="23" borderId="2" pivotButton="0" quotePrefix="0" xfId="77"/>
    <xf numFmtId="0" fontId="24" fillId="3" borderId="2" pivotButton="0" quotePrefix="0" xfId="77"/>
    <xf numFmtId="43" fontId="24" fillId="3" borderId="2" pivotButton="0" quotePrefix="0" xfId="77"/>
    <xf numFmtId="0" fontId="27" fillId="3" borderId="2" pivotButton="0" quotePrefix="0" xfId="77"/>
    <xf numFmtId="0" fontId="36" fillId="0" borderId="2" applyAlignment="1" pivotButton="0" quotePrefix="0" xfId="0">
      <alignment horizontal="left" vertical="center"/>
    </xf>
    <xf numFmtId="0" fontId="21" fillId="3" borderId="2" applyAlignment="1" applyProtection="1" pivotButton="0" quotePrefix="0" xfId="77">
      <alignment horizontal="center"/>
      <protection locked="0" hidden="0"/>
    </xf>
    <xf numFmtId="49" fontId="37" fillId="5" borderId="2" applyAlignment="1" pivotButton="0" quotePrefix="0" xfId="77">
      <alignment horizontal="left" vertical="center"/>
    </xf>
    <xf numFmtId="0" fontId="38" fillId="0" borderId="2" pivotButton="0" quotePrefix="0" xfId="0"/>
    <xf numFmtId="0" fontId="38" fillId="3" borderId="2" applyAlignment="1" applyProtection="1" pivotButton="0" quotePrefix="0" xfId="77">
      <alignment horizontal="left"/>
      <protection locked="0" hidden="0"/>
    </xf>
    <xf numFmtId="0" fontId="38" fillId="0" borderId="2" applyAlignment="1" applyProtection="1" pivotButton="0" quotePrefix="0" xfId="77">
      <alignment horizontal="left"/>
      <protection locked="0" hidden="0"/>
    </xf>
    <xf numFmtId="0" fontId="38" fillId="0" borderId="2" applyAlignment="1" pivotButton="0" quotePrefix="0" xfId="0">
      <alignment horizontal="left"/>
    </xf>
    <xf numFmtId="43" fontId="38" fillId="19" borderId="2" applyAlignment="1" applyProtection="1" pivotButton="0" quotePrefix="0" xfId="1">
      <alignment horizontal="left"/>
      <protection locked="0" hidden="0"/>
    </xf>
    <xf numFmtId="0" fontId="38" fillId="19" borderId="0" applyAlignment="1" applyProtection="1" pivotButton="0" quotePrefix="0" xfId="77">
      <alignment horizontal="left"/>
      <protection locked="0" hidden="0"/>
    </xf>
    <xf numFmtId="43" fontId="37" fillId="3" borderId="8" applyAlignment="1" pivotButton="0" quotePrefix="0" xfId="1">
      <alignment horizontal="center"/>
    </xf>
    <xf numFmtId="0" fontId="21" fillId="3" borderId="2" applyAlignment="1" pivotButton="0" quotePrefix="0" xfId="77">
      <alignment horizontal="center"/>
    </xf>
    <xf numFmtId="43" fontId="21" fillId="23" borderId="2" pivotButton="0" quotePrefix="0" xfId="77"/>
    <xf numFmtId="0" fontId="21" fillId="3" borderId="2" pivotButton="0" quotePrefix="0" xfId="77"/>
    <xf numFmtId="43" fontId="21" fillId="3" borderId="2" pivotButton="0" quotePrefix="0" xfId="77"/>
    <xf numFmtId="0" fontId="0" fillId="3" borderId="2" pivotButton="0" quotePrefix="0" xfId="77"/>
    <xf numFmtId="0" fontId="38" fillId="0" borderId="2" applyProtection="1" pivotButton="0" quotePrefix="0" xfId="77">
      <protection locked="0" hidden="0"/>
    </xf>
    <xf numFmtId="0" fontId="1" fillId="0" borderId="2" applyProtection="1" pivotButton="0" quotePrefix="0" xfId="77">
      <protection locked="0" hidden="0"/>
    </xf>
    <xf numFmtId="49" fontId="38" fillId="0" borderId="2" applyAlignment="1" applyProtection="1" pivotButton="0" quotePrefix="0" xfId="77">
      <alignment horizontal="left"/>
      <protection locked="0" hidden="0"/>
    </xf>
    <xf numFmtId="49" fontId="27" fillId="0" borderId="2" applyAlignment="1" applyProtection="1" pivotButton="0" quotePrefix="0" xfId="77">
      <alignment horizontal="left"/>
      <protection locked="0" hidden="0"/>
    </xf>
    <xf numFmtId="15" fontId="36" fillId="0" borderId="2" applyAlignment="1" pivotButton="0" quotePrefix="0" xfId="93">
      <alignment vertical="center"/>
    </xf>
    <xf numFmtId="1" fontId="38" fillId="0" borderId="2" applyAlignment="1" applyProtection="1" pivotButton="0" quotePrefix="0" xfId="77">
      <alignment horizontal="left"/>
      <protection locked="0" hidden="0"/>
    </xf>
    <xf numFmtId="14" fontId="24" fillId="2" borderId="2" applyProtection="1" pivotButton="0" quotePrefix="0" xfId="77">
      <protection locked="0" hidden="0"/>
    </xf>
    <xf numFmtId="0" fontId="36" fillId="0" borderId="2" applyAlignment="1" pivotButton="0" quotePrefix="0" xfId="93">
      <alignment horizontal="left" vertical="center"/>
    </xf>
    <xf numFmtId="0" fontId="27" fillId="0" borderId="9" applyProtection="1" pivotButton="0" quotePrefix="0" xfId="77">
      <protection locked="0" hidden="0"/>
    </xf>
    <xf numFmtId="15" fontId="36" fillId="24" borderId="2" applyAlignment="1" pivotButton="0" quotePrefix="0" xfId="93">
      <alignment vertical="center"/>
    </xf>
    <xf numFmtId="0" fontId="27" fillId="0" borderId="0" applyAlignment="1" pivotButton="0" quotePrefix="0" xfId="0">
      <alignment horizontal="left"/>
    </xf>
    <xf numFmtId="43" fontId="27" fillId="0" borderId="0" pivotButton="0" quotePrefix="0" xfId="1"/>
    <xf numFmtId="0" fontId="27" fillId="19" borderId="0" pivotButton="0" quotePrefix="0" xfId="0"/>
    <xf numFmtId="0" fontId="27" fillId="0" borderId="0" pivotButton="0" quotePrefix="0" xfId="0"/>
    <xf numFmtId="49" fontId="19" fillId="2" borderId="2" applyAlignment="1" pivotButton="0" quotePrefix="0" xfId="77">
      <alignment horizontal="left" vertical="center"/>
    </xf>
    <xf numFmtId="0" fontId="27" fillId="2" borderId="2" applyProtection="1" pivotButton="0" quotePrefix="0" xfId="77">
      <protection locked="0" hidden="0"/>
    </xf>
    <xf numFmtId="0" fontId="36" fillId="2" borderId="2" applyAlignment="1" pivotButton="0" quotePrefix="0" xfId="0">
      <alignment horizontal="left" vertical="center"/>
    </xf>
    <xf numFmtId="0" fontId="27" fillId="2" borderId="2" pivotButton="0" quotePrefix="0" xfId="0"/>
    <xf numFmtId="0" fontId="27" fillId="2" borderId="2" applyAlignment="1" pivotButton="0" quotePrefix="0" xfId="0">
      <alignment horizontal="left" vertical="center" wrapText="1"/>
    </xf>
    <xf numFmtId="0" fontId="27" fillId="2" borderId="2" applyAlignment="1" pivotButton="0" quotePrefix="0" xfId="0">
      <alignment horizontal="left"/>
    </xf>
    <xf numFmtId="0" fontId="27" fillId="2" borderId="2" applyAlignment="1" applyProtection="1" pivotButton="0" quotePrefix="0" xfId="77">
      <alignment horizontal="left"/>
      <protection locked="0" hidden="0"/>
    </xf>
    <xf numFmtId="43" fontId="27" fillId="2" borderId="2" applyAlignment="1" applyProtection="1" pivotButton="0" quotePrefix="0" xfId="1">
      <alignment horizontal="left"/>
      <protection locked="0" hidden="0"/>
    </xf>
    <xf numFmtId="1" fontId="27" fillId="2" borderId="2" applyAlignment="1" applyProtection="1" pivotButton="0" quotePrefix="0" xfId="77">
      <alignment horizontal="left"/>
      <protection locked="0" hidden="0"/>
    </xf>
    <xf numFmtId="0" fontId="36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left" vertical="center"/>
    </xf>
    <xf numFmtId="0" fontId="35" fillId="0" borderId="2" applyProtection="1" pivotButton="0" quotePrefix="0" xfId="77">
      <protection locked="0" hidden="0"/>
    </xf>
    <xf numFmtId="0" fontId="24" fillId="6" borderId="2" applyAlignment="1" applyProtection="1" pivotButton="0" quotePrefix="0" xfId="77">
      <alignment horizontal="center"/>
      <protection locked="0" hidden="0"/>
    </xf>
    <xf numFmtId="49" fontId="19" fillId="6" borderId="2" applyAlignment="1" applyProtection="1" pivotButton="0" quotePrefix="0" xfId="77">
      <alignment horizontal="center"/>
      <protection locked="0" hidden="0"/>
    </xf>
    <xf numFmtId="49" fontId="26" fillId="6" borderId="2" applyAlignment="1" applyProtection="1" pivotButton="0" quotePrefix="0" xfId="77">
      <alignment horizontal="center"/>
      <protection locked="0" hidden="0"/>
    </xf>
    <xf numFmtId="14" fontId="24" fillId="6" borderId="2" applyProtection="1" pivotButton="0" quotePrefix="0" xfId="77">
      <protection locked="0" hidden="0"/>
    </xf>
    <xf numFmtId="0" fontId="27" fillId="6" borderId="2" applyAlignment="1" applyProtection="1" pivotButton="0" quotePrefix="0" xfId="77">
      <alignment horizontal="left"/>
      <protection locked="0" hidden="0"/>
    </xf>
    <xf numFmtId="43" fontId="27" fillId="6" borderId="2" applyAlignment="1" applyProtection="1" pivotButton="0" quotePrefix="0" xfId="1">
      <alignment horizontal="left"/>
      <protection locked="0" hidden="0"/>
    </xf>
    <xf numFmtId="0" fontId="24" fillId="6" borderId="2" applyAlignment="1" applyProtection="1" pivotButton="0" quotePrefix="0" xfId="77">
      <alignment horizontal="left"/>
      <protection locked="0" hidden="0"/>
    </xf>
    <xf numFmtId="0" fontId="24" fillId="6" borderId="0" applyAlignment="1" applyProtection="1" pivotButton="0" quotePrefix="0" xfId="77">
      <alignment horizontal="left"/>
      <protection locked="0" hidden="0"/>
    </xf>
    <xf numFmtId="0" fontId="24" fillId="19" borderId="0" applyAlignment="1" applyProtection="1" pivotButton="0" quotePrefix="0" xfId="77">
      <alignment horizontal="left"/>
      <protection locked="0" hidden="0"/>
    </xf>
    <xf numFmtId="0" fontId="24" fillId="25" borderId="2" applyAlignment="1" applyProtection="1" pivotButton="0" quotePrefix="0" xfId="77">
      <alignment horizontal="center"/>
      <protection locked="0" hidden="0"/>
    </xf>
    <xf numFmtId="0" fontId="27" fillId="25" borderId="2" pivotButton="0" quotePrefix="0" xfId="77"/>
    <xf numFmtId="0" fontId="27" fillId="25" borderId="2" applyProtection="1" pivotButton="0" quotePrefix="0" xfId="77">
      <protection locked="0" hidden="0"/>
    </xf>
    <xf numFmtId="14" fontId="24" fillId="25" borderId="2" applyProtection="1" pivotButton="0" quotePrefix="0" xfId="77">
      <protection locked="0" hidden="0"/>
    </xf>
    <xf numFmtId="0" fontId="39" fillId="25" borderId="2" applyAlignment="1" pivotButton="0" quotePrefix="0" xfId="0">
      <alignment horizontal="left" vertical="center"/>
    </xf>
    <xf numFmtId="0" fontId="27" fillId="25" borderId="2" pivotButton="0" quotePrefix="0" xfId="0"/>
    <xf numFmtId="0" fontId="27" fillId="25" borderId="2" applyAlignment="1" applyProtection="1" pivotButton="0" quotePrefix="0" xfId="77">
      <alignment horizontal="left"/>
      <protection locked="0" hidden="0"/>
    </xf>
    <xf numFmtId="0" fontId="27" fillId="25" borderId="2" applyAlignment="1" pivotButton="0" quotePrefix="0" xfId="0">
      <alignment horizontal="left" vertical="center" wrapText="1"/>
    </xf>
    <xf numFmtId="0" fontId="27" fillId="25" borderId="2" applyAlignment="1" applyProtection="1" pivotButton="0" quotePrefix="0" xfId="77">
      <alignment horizontal="left"/>
      <protection locked="0" hidden="0"/>
    </xf>
    <xf numFmtId="43" fontId="27" fillId="25" borderId="2" applyAlignment="1" applyProtection="1" pivotButton="0" quotePrefix="0" xfId="1">
      <alignment horizontal="left"/>
      <protection locked="0" hidden="0"/>
    </xf>
    <xf numFmtId="1" fontId="27" fillId="25" borderId="2" applyAlignment="1" applyProtection="1" pivotButton="0" quotePrefix="0" xfId="77">
      <alignment horizontal="left"/>
      <protection locked="0" hidden="0"/>
    </xf>
    <xf numFmtId="0" fontId="27" fillId="25" borderId="0" applyAlignment="1" applyProtection="1" pivotButton="0" quotePrefix="0" xfId="77">
      <alignment horizontal="left"/>
      <protection locked="0" hidden="0"/>
    </xf>
    <xf numFmtId="0" fontId="38" fillId="0" borderId="2" applyProtection="1" pivotButton="0" quotePrefix="0" xfId="77">
      <protection locked="0" hidden="0"/>
    </xf>
    <xf numFmtId="0" fontId="27" fillId="0" borderId="2" applyAlignment="1" applyProtection="1" pivotButton="0" quotePrefix="1" xfId="77">
      <alignment horizontal="left"/>
      <protection locked="0" hidden="0"/>
    </xf>
    <xf numFmtId="49" fontId="38" fillId="0" borderId="2" applyAlignment="1" applyProtection="1" pivotButton="0" quotePrefix="1" xfId="77">
      <alignment horizontal="left"/>
      <protection locked="0" hidden="0"/>
    </xf>
    <xf numFmtId="0" fontId="38" fillId="0" borderId="2" applyAlignment="1" applyProtection="1" pivotButton="0" quotePrefix="1" xfId="77">
      <alignment horizontal="left"/>
      <protection locked="0" hidden="0"/>
    </xf>
    <xf numFmtId="49" fontId="27" fillId="0" borderId="2" applyAlignment="1" applyProtection="1" pivotButton="0" quotePrefix="1" xfId="77">
      <alignment horizontal="left"/>
      <protection locked="0" hidden="0"/>
    </xf>
    <xf numFmtId="0" fontId="22" fillId="4" borderId="0" applyAlignment="1" pivotButton="0" quotePrefix="1" xfId="77">
      <alignment horizontal="center" vertical="center"/>
    </xf>
    <xf numFmtId="43" fontId="27" fillId="0" borderId="0" pivotButton="0" quotePrefix="0" xfId="1"/>
    <xf numFmtId="43" fontId="24" fillId="4" borderId="0" applyAlignment="1" applyProtection="1" pivotButton="0" quotePrefix="0" xfId="1">
      <alignment horizontal="center"/>
      <protection locked="0" hidden="0"/>
    </xf>
    <xf numFmtId="43" fontId="24" fillId="11" borderId="0" applyAlignment="1" applyProtection="1" pivotButton="0" quotePrefix="0" xfId="1">
      <alignment horizontal="left"/>
      <protection locked="0" hidden="0"/>
    </xf>
    <xf numFmtId="43" fontId="31" fillId="11" borderId="0" applyAlignment="1" applyProtection="1" pivotButton="0" quotePrefix="0" xfId="1">
      <alignment horizontal="left" wrapText="1"/>
      <protection locked="0" hidden="0"/>
    </xf>
    <xf numFmtId="43" fontId="24" fillId="0" borderId="0" applyAlignment="1" applyProtection="1" pivotButton="0" quotePrefix="0" xfId="77">
      <alignment horizontal="left"/>
      <protection locked="0" hidden="0"/>
    </xf>
    <xf numFmtId="43" fontId="24" fillId="4" borderId="0" applyAlignment="1" applyProtection="1" pivotButton="0" quotePrefix="0" xfId="77">
      <alignment horizontal="center"/>
      <protection locked="0" hidden="0"/>
    </xf>
    <xf numFmtId="43" fontId="24" fillId="11" borderId="0" applyAlignment="1" applyProtection="1" pivotButton="0" quotePrefix="0" xfId="77">
      <alignment horizontal="left"/>
      <protection locked="0" hidden="0"/>
    </xf>
    <xf numFmtId="43" fontId="24" fillId="0" borderId="0" applyAlignment="1" applyProtection="1" pivotButton="0" quotePrefix="0" xfId="1">
      <alignment horizontal="left"/>
      <protection locked="0" hidden="0"/>
    </xf>
    <xf numFmtId="43" fontId="24" fillId="0" borderId="0" pivotButton="0" quotePrefix="0" xfId="77"/>
    <xf numFmtId="43" fontId="3" fillId="0" borderId="0" applyAlignment="1" applyProtection="1" pivotButton="0" quotePrefix="0" xfId="1">
      <alignment horizontal="center"/>
      <protection locked="0" hidden="0"/>
    </xf>
    <xf numFmtId="43" fontId="3" fillId="0" borderId="0" applyAlignment="1" applyProtection="1" pivotButton="0" quotePrefix="0" xfId="77">
      <alignment horizontal="center"/>
      <protection locked="0" hidden="0"/>
    </xf>
    <xf numFmtId="43" fontId="3" fillId="0" borderId="0" applyProtection="1" pivotButton="0" quotePrefix="0" xfId="77">
      <protection locked="0" hidden="0"/>
    </xf>
    <xf numFmtId="43" fontId="0" fillId="0" borderId="0" pivotButton="0" quotePrefix="0" xfId="1"/>
    <xf numFmtId="43" fontId="3" fillId="0" borderId="0" applyAlignment="1" applyProtection="1" pivotButton="0" quotePrefix="0" xfId="77">
      <alignment horizontal="left"/>
      <protection locked="0" hidden="0"/>
    </xf>
    <xf numFmtId="43" fontId="31" fillId="16" borderId="0" applyAlignment="1" applyProtection="1" pivotButton="0" quotePrefix="0" xfId="1">
      <alignment horizontal="left" wrapText="1"/>
      <protection locked="0" hidden="0"/>
    </xf>
    <xf numFmtId="43" fontId="32" fillId="18" borderId="2" applyAlignment="1" applyProtection="1" pivotButton="0" quotePrefix="0" xfId="1">
      <alignment horizontal="center"/>
      <protection locked="0" hidden="0"/>
    </xf>
    <xf numFmtId="43" fontId="27" fillId="19" borderId="2" applyAlignment="1" applyProtection="1" pivotButton="0" quotePrefix="0" xfId="1">
      <alignment horizontal="left"/>
      <protection locked="0" hidden="0"/>
    </xf>
    <xf numFmtId="43" fontId="19" fillId="3" borderId="8" applyAlignment="1" pivotButton="0" quotePrefix="0" xfId="1">
      <alignment horizontal="center"/>
    </xf>
    <xf numFmtId="43" fontId="24" fillId="23" borderId="2" pivotButton="0" quotePrefix="0" xfId="77"/>
    <xf numFmtId="43" fontId="24" fillId="3" borderId="2" pivotButton="0" quotePrefix="0" xfId="77"/>
  </cellXfs>
  <cellStyles count="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Accent2 2 10 2 3" xfId="49"/>
    <cellStyle name="20% - Accent3 4 6 5" xfId="50"/>
    <cellStyle name="20% - Accent1 2 13 3" xfId="51"/>
    <cellStyle name="20% - Accent1 4 10 4" xfId="52"/>
    <cellStyle name="20% - Accent2 2 6" xfId="53"/>
    <cellStyle name="20% - Accent1 2 6 3" xfId="54"/>
    <cellStyle name=" 1 3 2" xfId="55"/>
    <cellStyle name="20% - Accent4 2 8 4 2" xfId="56"/>
    <cellStyle name="20% - Accent3 2 14 4" xfId="57"/>
    <cellStyle name="Comma 2" xfId="58"/>
    <cellStyle name="20% - Accent1 2 8 2 2" xfId="59"/>
    <cellStyle name="20% - Accent2 2 11 3 2" xfId="60"/>
    <cellStyle name="Comma 10" xfId="61"/>
    <cellStyle name="Accent5 2" xfId="62"/>
    <cellStyle name="#,# 2" xfId="63"/>
    <cellStyle name="=C:\WINNT\SYSTEM32\COMMAND.COM 2" xfId="64"/>
    <cellStyle name="20% - Accent2 4 10 3" xfId="65"/>
    <cellStyle name="20% - Accent3 14 2" xfId="66"/>
    <cellStyle name="20% - Accent3 5" xfId="67"/>
    <cellStyle name="60% - Accent1 2" xfId="68"/>
    <cellStyle name="20% - Accent6 2 14" xfId="69"/>
    <cellStyle name="20% - Accent1 2" xfId="70"/>
    <cellStyle name="20% - Accent5 5" xfId="71"/>
    <cellStyle name="Normal 5" xfId="72"/>
    <cellStyle name="20% - Accent6 14" xfId="73"/>
    <cellStyle name="20% - Accent3 2 6 2 5" xfId="74"/>
    <cellStyle name="20% - Accent4 14" xfId="75"/>
    <cellStyle name="Normal 3 4 2 7 4 2" xfId="76"/>
    <cellStyle name="40% - Accent6 5 4" xfId="77"/>
    <cellStyle name="20% - Accent3 4 2 5 3" xfId="78"/>
    <cellStyle name="Normal 2 6" xfId="79"/>
    <cellStyle name="20% - Accent2 2 4 2 3 2" xfId="80"/>
    <cellStyle name="Linked Cell 3" xfId="81"/>
    <cellStyle name="Bad 5" xfId="82"/>
    <cellStyle name="20% - Accent6 2 3 5" xfId="83"/>
    <cellStyle name="Normal 2 4" xfId="84"/>
    <cellStyle name="Accent2 3" xfId="85"/>
    <cellStyle name="常规 3" xfId="86"/>
    <cellStyle name="Warning Text 2" xfId="87"/>
    <cellStyle name="40% - Accent1 5" xfId="88"/>
    <cellStyle name="40% - Accent2 4" xfId="89"/>
    <cellStyle name="20% - Accent5 14 3" xfId="90"/>
    <cellStyle name="Normal 2" xfId="91"/>
    <cellStyle name="20% - Accent2 8 3 5" xfId="92"/>
    <cellStyle name="常规 2" xfId="93"/>
  </cellStyles>
  <dxfs count="2">
    <dxf>
      <font>
        <name val="宋体"/>
        <strike val="0"/>
        <color rgb="FF9C0006"/>
        <sz val="11"/>
      </font>
      <fill>
        <patternFill patternType="solid">
          <bgColor rgb="FFFFC7CE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topLeftCell="A383" zoomScale="85" zoomScaleNormal="85" workbookViewId="0">
      <selection activeCell="G192" sqref="G192"/>
    </sheetView>
  </sheetViews>
  <sheetFormatPr baseColWidth="8" defaultColWidth="9" defaultRowHeight="18" customHeight="1"/>
  <cols>
    <col width="4.21666666666667" customWidth="1" style="304" min="1" max="1"/>
    <col width="6.44166666666667" customWidth="1" style="304" min="2" max="2"/>
    <col width="8.108333333333331" customWidth="1" style="304" min="3" max="3"/>
    <col width="6.44166666666667" customWidth="1" style="304" min="4" max="4"/>
    <col width="9" customWidth="1" style="304" min="5" max="5"/>
    <col outlineLevel="1" width="16.6666666666667" customWidth="1" style="304" min="6" max="6"/>
    <col outlineLevel="1" width="10.1083333333333" customWidth="1" style="304" min="7" max="7"/>
    <col outlineLevel="1" width="11.3333333333333" customWidth="1" style="304" min="8" max="8"/>
    <col outlineLevel="1" width="7.88333333333333" customWidth="1" style="304" min="9" max="9"/>
    <col outlineLevel="1" width="11.3333333333333" customWidth="1" style="301" min="10" max="10"/>
    <col outlineLevel="1" width="13.3333333333333" customWidth="1" style="301" min="11" max="11"/>
    <col outlineLevel="1" width="14.6666666666667" customWidth="1" style="304" min="12" max="12"/>
    <col outlineLevel="1" width="7.33333333333333" customWidth="1" style="304" min="13" max="13"/>
    <col width="13.2166666666667" customWidth="1" style="344" min="14" max="14"/>
    <col width="19.2166666666667" customWidth="1" style="301" min="15" max="15"/>
    <col width="5.66666666666667" customWidth="1" style="304" min="16" max="16"/>
    <col width="13" customWidth="1" style="304" min="17" max="17"/>
    <col width="6.21666666666667" customWidth="1" style="304" min="18" max="18"/>
    <col width="8.44166666666667" customWidth="1" style="304" min="19" max="19"/>
    <col width="11" customWidth="1" style="304" min="20" max="20"/>
    <col width="7.775" customWidth="1" style="303" min="21" max="21"/>
    <col width="11" customWidth="1" style="303" min="22" max="22"/>
    <col width="16" customWidth="1" style="304" min="23" max="23"/>
    <col width="25.1083333333333" customWidth="1" style="304" min="24" max="24"/>
    <col width="16.1083333333333" customWidth="1" style="304" min="25" max="25"/>
    <col width="12.8833333333333" customWidth="1" style="304" min="26" max="26"/>
    <col width="10" customWidth="1" style="304" min="27" max="27"/>
    <col width="42" customWidth="1" style="304" min="28" max="28"/>
    <col width="20" customWidth="1" style="304" min="29" max="29"/>
    <col outlineLevel="1" width="21.3333333333333" customWidth="1" style="304" min="30" max="30"/>
    <col width="14.1083333333333" customWidth="1" style="304" min="31" max="31"/>
    <col width="34.6666666666667" customWidth="1" style="304" min="32" max="32"/>
    <col width="5.10833333333333" customWidth="1" style="304" min="33" max="33"/>
    <col width="9" customWidth="1" style="304" min="34" max="16384"/>
  </cols>
  <sheetData>
    <row r="1" customFormat="1" s="304">
      <c r="A1" s="195" t="inlineStr">
        <is>
          <t>负数税额</t>
        </is>
      </c>
      <c r="B1" s="345">
        <f>SUMIFS(AA:AA,Z:Z,"Y9",Y:Y,"&lt;0")</f>
        <v/>
      </c>
      <c r="C1" s="195" t="inlineStr">
        <is>
          <t>计算税的发票</t>
        </is>
      </c>
      <c r="D1" s="345">
        <f>SUMIFS(W:W,Z:Z,"y9")</f>
        <v/>
      </c>
      <c r="E1" s="195" t="inlineStr">
        <is>
          <t>订单不含税</t>
        </is>
      </c>
      <c r="F1" s="346">
        <f>SUM(Y8:Y2000)</f>
        <v/>
      </c>
      <c r="G1" s="347" t="inlineStr">
        <is>
          <t>需要自己调</t>
        </is>
      </c>
      <c r="H1" s="199" t="n"/>
      <c r="I1" s="200" t="n"/>
      <c r="J1" s="348" t="inlineStr">
        <is>
          <t>Int.国际</t>
        </is>
      </c>
      <c r="K1" s="348" t="n"/>
      <c r="L1" s="304" t="n"/>
      <c r="M1" s="304" t="n"/>
      <c r="N1" s="344" t="n"/>
      <c r="O1" s="301" t="n"/>
      <c r="P1" s="304" t="n"/>
      <c r="Q1" s="304" t="n"/>
      <c r="R1" s="304" t="n"/>
      <c r="S1" s="304" t="n"/>
      <c r="T1" s="304" t="n"/>
      <c r="U1" s="303" t="n"/>
      <c r="V1" s="303" t="n"/>
      <c r="W1" s="304" t="n"/>
      <c r="X1" s="304" t="n"/>
      <c r="Y1" s="304" t="n"/>
      <c r="Z1" s="304" t="n"/>
      <c r="AA1" s="304" t="n"/>
      <c r="AB1" s="304" t="n"/>
      <c r="AC1" s="304" t="n"/>
      <c r="AD1" s="304" t="n"/>
      <c r="AE1" s="304" t="n"/>
      <c r="AF1" s="304" t="n"/>
      <c r="AG1" s="304" t="n"/>
    </row>
    <row r="2" customFormat="1" s="304">
      <c r="A2" s="195" t="inlineStr">
        <is>
          <t>正数税额</t>
        </is>
      </c>
      <c r="B2" s="345">
        <f>SUMIFS(AA:AA,Z:Z,"Y9",AA:AA,"&gt;0")</f>
        <v/>
      </c>
      <c r="C2" s="195" t="inlineStr">
        <is>
          <t>不计算税额的发票</t>
        </is>
      </c>
      <c r="D2" s="349">
        <f>SUMIFS(N:N,Z:Z,"j0")</f>
        <v/>
      </c>
      <c r="E2" s="195" t="inlineStr">
        <is>
          <t>订单含税</t>
        </is>
      </c>
      <c r="F2" s="350">
        <f>SUM(N8:N2000)</f>
        <v/>
      </c>
      <c r="G2" s="350" t="n"/>
      <c r="H2" s="304" t="n"/>
      <c r="I2" s="304" t="n"/>
      <c r="J2" s="199" t="inlineStr">
        <is>
          <t>Dom.国内</t>
        </is>
      </c>
      <c r="K2" s="199" t="n"/>
      <c r="L2" s="304" t="n"/>
      <c r="M2" s="304" t="n"/>
      <c r="N2" s="351" t="n"/>
      <c r="O2" s="301" t="n"/>
      <c r="P2" s="304" t="n"/>
      <c r="Q2" s="304" t="n"/>
      <c r="R2" s="304" t="n"/>
      <c r="S2" s="304" t="n"/>
      <c r="T2" s="304" t="n"/>
      <c r="U2" s="303" t="n"/>
      <c r="V2" s="303" t="n"/>
      <c r="W2" s="236" t="n"/>
      <c r="X2" s="352" t="n"/>
      <c r="Y2" s="304" t="n"/>
      <c r="Z2" s="304" t="n"/>
      <c r="AA2" s="304" t="n"/>
      <c r="AB2" s="304" t="n"/>
      <c r="AC2" s="304" t="n"/>
      <c r="AD2" s="304" t="n"/>
      <c r="AE2" s="304" t="n"/>
      <c r="AF2" s="304" t="n"/>
      <c r="AG2" s="304" t="n"/>
    </row>
    <row r="3" customFormat="1" s="304">
      <c r="A3" s="195" t="inlineStr">
        <is>
          <t>税额合计</t>
        </is>
      </c>
      <c r="B3" s="345">
        <f>SUM(B1:B2)</f>
        <v/>
      </c>
      <c r="C3" s="195" t="inlineStr">
        <is>
          <t>税额合计</t>
        </is>
      </c>
      <c r="D3" s="349">
        <f>D1/1.09*0.09</f>
        <v/>
      </c>
      <c r="E3" s="195" t="inlineStr">
        <is>
          <t>税额合计</t>
        </is>
      </c>
      <c r="F3" s="350">
        <f>F2-F1</f>
        <v/>
      </c>
      <c r="G3" s="350" t="n"/>
      <c r="H3" s="304" t="n"/>
      <c r="I3" s="304" t="n"/>
      <c r="J3" s="301" t="n"/>
      <c r="K3" s="301" t="n"/>
      <c r="L3" s="304" t="n"/>
      <c r="M3" s="304" t="n"/>
      <c r="N3" s="344" t="n"/>
      <c r="O3" s="301" t="n"/>
      <c r="P3" s="304" t="n"/>
      <c r="Q3" s="304" t="n"/>
      <c r="R3" s="304" t="n"/>
      <c r="S3" s="304" t="n"/>
      <c r="T3" s="304" t="n"/>
      <c r="U3" s="303" t="n"/>
      <c r="V3" s="303" t="n"/>
      <c r="W3" s="236" t="n"/>
      <c r="X3" s="304" t="n"/>
      <c r="Y3" s="304" t="n"/>
      <c r="Z3" s="304" t="n"/>
      <c r="AA3" s="304" t="n"/>
      <c r="AB3" s="304" t="n"/>
      <c r="AC3" s="304" t="n"/>
      <c r="AD3" s="304" t="n"/>
      <c r="AE3" s="304" t="n"/>
      <c r="AF3" s="207" t="n"/>
      <c r="AG3" s="304" t="n"/>
    </row>
    <row r="4" hidden="1" ht="24.9" customHeight="1" s="208">
      <c r="B4" s="353" t="n"/>
      <c r="C4" s="354" t="n"/>
      <c r="D4" s="355" t="n"/>
      <c r="E4" s="355" t="n"/>
      <c r="N4" s="356" t="n"/>
      <c r="O4" s="357" t="n"/>
      <c r="U4" s="214" t="n"/>
      <c r="V4" s="214" t="n"/>
      <c r="W4" s="215" t="n"/>
    </row>
    <row r="5" ht="36.75" customFormat="1" customHeight="1" s="304">
      <c r="A5" s="216" t="n"/>
      <c r="B5" s="217" t="n"/>
      <c r="C5" s="218" t="inlineStr">
        <is>
          <t>只能填写手续费/机票/GM/外部人员，手续费/GM税率是0，国内机票/退票税率是9%,退票需要和原来信息一致，金额为负</t>
        </is>
      </c>
      <c r="D5" s="219" t="inlineStr">
        <is>
          <t>只能填写国内或国际，国际税率0，国内9%</t>
        </is>
      </c>
      <c r="E5" s="216" t="inlineStr">
        <is>
          <t>CO要求 如果为外籍人员home trip 需要标记</t>
        </is>
      </c>
      <c r="F5" s="220" t="inlineStr">
        <is>
          <t>账单信息</t>
        </is>
      </c>
      <c r="G5" s="220" t="inlineStr">
        <is>
          <t>账单信息</t>
        </is>
      </c>
      <c r="H5" s="220" t="inlineStr">
        <is>
          <t>账单信息</t>
        </is>
      </c>
      <c r="I5" s="234" t="n"/>
      <c r="J5" s="220" t="inlineStr">
        <is>
          <t>账单信息</t>
        </is>
      </c>
      <c r="K5" s="222" t="n"/>
      <c r="L5" s="220" t="inlineStr">
        <is>
          <t>账单信息</t>
        </is>
      </c>
      <c r="M5" s="220" t="inlineStr">
        <is>
          <t>账单信息</t>
        </is>
      </c>
      <c r="N5" s="358" t="inlineStr">
        <is>
          <t>发票上面 合计金额</t>
        </is>
      </c>
      <c r="O5" s="224" t="n"/>
      <c r="P5" s="199" t="n"/>
      <c r="Q5" s="304" t="n"/>
      <c r="R5" s="304" t="n"/>
      <c r="S5" s="225" t="n"/>
      <c r="T5" s="225" t="n"/>
      <c r="U5" s="226" t="n"/>
      <c r="V5" s="226" t="n"/>
      <c r="W5" s="228" t="inlineStr">
        <is>
          <t>金额合计扣除不能抵扣的金额 也就是计税基础O=Q-M-S</t>
        </is>
      </c>
      <c r="X5" s="228" t="inlineStr">
        <is>
          <t>如果D列填写了GM,则GL Account 是13700，如果D列填写了外部人员，则GL 是66400，其他均为66510</t>
        </is>
      </c>
      <c r="Y5" s="228" t="inlineStr">
        <is>
          <t>按照Q列税率还原成不含税金额，PR输入金额</t>
        </is>
      </c>
      <c r="Z5" s="228" t="inlineStr">
        <is>
          <t>只有E列是机票/退票I列是DOM,情况下是Y9，其他J0</t>
        </is>
      </c>
      <c r="AA5" s="229" t="n"/>
      <c r="AB5" s="228" t="inlineStr">
        <is>
          <t>乘机人姓名/home trip/行程
为必要信息  请参照采购的要求</t>
        </is>
      </c>
      <c r="AC5" s="229" t="n"/>
      <c r="AD5" s="230" t="n"/>
      <c r="AE5" s="304" t="n"/>
      <c r="AF5" s="207" t="n"/>
      <c r="AG5" s="304" t="n"/>
    </row>
    <row r="6" ht="29.25" customFormat="1" customHeight="1" s="304">
      <c r="A6" s="231" t="inlineStr">
        <is>
          <t>SAP</t>
        </is>
      </c>
      <c r="B6" s="304" t="n"/>
      <c r="C6" s="232" t="n"/>
      <c r="D6" s="304" t="n"/>
      <c r="E6" s="233" t="n"/>
      <c r="F6" s="234" t="n"/>
      <c r="G6" s="304" t="n"/>
      <c r="H6" s="304" t="n"/>
      <c r="I6" s="304" t="n"/>
      <c r="J6" s="301" t="n"/>
      <c r="K6" s="301" t="n"/>
      <c r="L6" s="304" t="n"/>
      <c r="M6" s="304" t="n"/>
      <c r="N6" s="344" t="n"/>
      <c r="O6" s="235" t="n"/>
      <c r="P6" s="304" t="n"/>
      <c r="Q6" s="304" t="n"/>
      <c r="R6" s="304" t="n"/>
      <c r="S6" s="304" t="n"/>
      <c r="T6" s="304" t="n"/>
      <c r="U6" s="303" t="n"/>
      <c r="V6" s="303" t="n"/>
      <c r="W6" s="236" t="n"/>
      <c r="X6" s="304" t="n"/>
      <c r="Y6" s="304" t="n"/>
      <c r="Z6" s="304" t="n"/>
      <c r="AA6" s="304" t="n"/>
      <c r="AB6" s="304" t="n"/>
      <c r="AC6" s="304" t="n"/>
      <c r="AD6" s="237" t="n"/>
      <c r="AE6" s="304" t="n"/>
      <c r="AF6" s="238" t="n"/>
      <c r="AG6" s="304" t="n"/>
    </row>
    <row r="7" customFormat="1" s="304">
      <c r="A7" s="239" t="inlineStr">
        <is>
          <t>序号</t>
        </is>
      </c>
      <c r="B7" s="240" t="inlineStr">
        <is>
          <t>A</t>
        </is>
      </c>
      <c r="C7" s="241" t="inlineStr">
        <is>
          <t>类别</t>
        </is>
      </c>
      <c r="D7" s="241" t="inlineStr">
        <is>
          <t>国际/国内</t>
        </is>
      </c>
      <c r="E7" s="241" t="inlineStr">
        <is>
          <t>CO</t>
        </is>
      </c>
      <c r="F7" s="242" t="inlineStr">
        <is>
          <t>中文名</t>
        </is>
      </c>
      <c r="G7" s="243" t="inlineStr">
        <is>
          <t>预订日期</t>
        </is>
      </c>
      <c r="H7" s="243" t="inlineStr">
        <is>
          <t>起飞时间</t>
        </is>
      </c>
      <c r="I7" s="244" t="inlineStr">
        <is>
          <t>SAP起飞时间</t>
        </is>
      </c>
      <c r="J7" s="245" t="inlineStr">
        <is>
          <t>ROUTING</t>
        </is>
      </c>
      <c r="K7" s="245" t="inlineStr">
        <is>
          <t>航程</t>
        </is>
      </c>
      <c r="L7" s="246" t="inlineStr">
        <is>
          <t>航班</t>
        </is>
      </c>
      <c r="M7" s="246" t="inlineStr">
        <is>
          <t>民航建设基金</t>
        </is>
      </c>
      <c r="N7" s="359" t="inlineStr">
        <is>
          <t>合计金额</t>
        </is>
      </c>
      <c r="O7" s="248" t="inlineStr">
        <is>
          <t>成本中心/WBS/ORDER</t>
        </is>
      </c>
      <c r="P7" s="249" t="inlineStr">
        <is>
          <t>邮件</t>
        </is>
      </c>
      <c r="Q7" s="250" t="inlineStr">
        <is>
          <t>rebook name</t>
        </is>
      </c>
      <c r="R7" s="251" t="inlineStr">
        <is>
          <t>rebooking</t>
        </is>
      </c>
      <c r="S7" s="239" t="inlineStr">
        <is>
          <t>备注</t>
        </is>
      </c>
      <c r="T7" s="252" t="inlineStr">
        <is>
          <t>发票号</t>
        </is>
      </c>
      <c r="U7" s="253" t="n"/>
      <c r="V7" s="253" t="n"/>
      <c r="W7" s="254" t="inlineStr">
        <is>
          <t>机票计税基础金额</t>
        </is>
      </c>
      <c r="X7" s="255" t="inlineStr">
        <is>
          <t>G/L</t>
        </is>
      </c>
      <c r="Y7" s="256" t="inlineStr">
        <is>
          <t>Net</t>
        </is>
      </c>
      <c r="Z7" s="255" t="inlineStr">
        <is>
          <t xml:space="preserve">Tax code </t>
        </is>
      </c>
      <c r="AA7" s="255" t="inlineStr">
        <is>
          <t>Tax</t>
        </is>
      </c>
      <c r="AB7" s="255" t="inlineStr">
        <is>
          <t>Des.</t>
        </is>
      </c>
      <c r="AC7" s="255" t="inlineStr">
        <is>
          <t>Des.2</t>
        </is>
      </c>
      <c r="AD7" s="256" t="inlineStr">
        <is>
          <t>EN Name</t>
        </is>
      </c>
      <c r="AE7" s="257" t="inlineStr">
        <is>
          <t>退改起飞日期</t>
        </is>
      </c>
      <c r="AF7" s="261" t="n"/>
      <c r="AG7" s="259" t="inlineStr">
        <is>
          <t>差额</t>
        </is>
      </c>
    </row>
    <row r="8" customFormat="1" s="304">
      <c r="A8" s="261" t="n"/>
      <c r="B8" s="260" t="n"/>
      <c r="C8" s="51" t="n"/>
      <c r="D8" s="261" t="n"/>
      <c r="E8" s="262" t="n"/>
      <c r="F8" s="263" t="n"/>
      <c r="G8" s="263" t="n"/>
      <c r="H8" s="263" t="n"/>
      <c r="I8" s="264">
        <f>MID(H8,1,2)&amp;MID(H8,4,2)&amp;MID(H8,9,2)</f>
        <v/>
      </c>
      <c r="J8" s="265" t="n"/>
      <c r="K8" s="266" t="n"/>
      <c r="L8" s="267" t="n"/>
      <c r="M8" s="267" t="n"/>
      <c r="N8" s="360" t="n"/>
      <c r="O8" s="267" t="n"/>
      <c r="P8" s="249" t="n"/>
      <c r="Q8" s="267" t="n"/>
      <c r="R8" s="267" t="n"/>
      <c r="S8" s="267" t="n"/>
      <c r="T8" s="339" t="n"/>
      <c r="U8" s="269" t="n"/>
      <c r="V8" s="269" t="n"/>
      <c r="W8" s="361">
        <f>IF(AND(OR(C8="Flight",C8="Train"),D8="Dom."),N8-M8,0)</f>
        <v/>
      </c>
      <c r="X8" s="271">
        <f>VLOOKUP(C8,GL!A:B,2,FALSE)</f>
        <v/>
      </c>
      <c r="Y8" s="362">
        <f>IF(Z8="j0",N8,W8-AA8+M8)</f>
        <v/>
      </c>
      <c r="Z8" s="273">
        <f>IF(AND(OR(C8="Flight",C8="Train"),D8="Dom."),"Y9","J0")</f>
        <v/>
      </c>
      <c r="AA8" s="363">
        <f>ROUND((W8/1.09)*0.09,2)</f>
        <v/>
      </c>
      <c r="AB8" s="273">
        <f>E8&amp;L8&amp;"_"&amp;F8&amp;"_"&amp;J8&amp;AC8</f>
        <v/>
      </c>
      <c r="AC8" s="273">
        <f>IF(OR(C8="rebook",C8="refund"),"_"&amp;Q8&amp;C8,"_"&amp;I8)</f>
        <v/>
      </c>
      <c r="AD8" s="275" t="n"/>
      <c r="AE8" s="273">
        <f>IF(OR(C8="rebook",C8="refund"),H8," ")</f>
        <v/>
      </c>
      <c r="AF8" s="261" t="n"/>
      <c r="AG8" s="261" t="n"/>
    </row>
    <row r="9" customFormat="1" s="304"/>
    <row r="10" customFormat="1" s="304"/>
    <row r="11" customFormat="1" s="304"/>
    <row r="12" customFormat="1" s="304"/>
    <row r="13" customFormat="1" s="304"/>
    <row r="14" customFormat="1" s="304"/>
    <row r="15" customFormat="1" s="304"/>
    <row r="16" customFormat="1" s="304"/>
    <row r="17" customFormat="1" s="304"/>
    <row r="18" customFormat="1" s="304"/>
    <row r="19" customFormat="1" s="304"/>
    <row r="20" customFormat="1" s="304"/>
    <row r="21" customFormat="1" s="304"/>
    <row r="22" customFormat="1" s="304"/>
    <row r="23" customFormat="1" s="304"/>
    <row r="24" customFormat="1" s="304"/>
    <row r="25" customFormat="1" s="304"/>
    <row r="26" customFormat="1" s="304"/>
    <row r="27" customFormat="1" s="304"/>
    <row r="28" customFormat="1" s="304"/>
    <row r="29" customFormat="1" s="304"/>
    <row r="30" customFormat="1" s="304"/>
    <row r="31" customFormat="1" s="304"/>
    <row r="32" customFormat="1" s="304"/>
    <row r="33" customFormat="1" s="304"/>
    <row r="34" customFormat="1" s="304"/>
    <row r="35" customFormat="1" s="304"/>
    <row r="36" customFormat="1" s="304"/>
    <row r="37" customFormat="1" s="304"/>
    <row r="38" customFormat="1" s="304"/>
    <row r="39" customFormat="1" s="304"/>
    <row r="40" customFormat="1" s="304"/>
    <row r="41" customFormat="1" s="304"/>
    <row r="42" customFormat="1" s="304"/>
    <row r="43" customFormat="1" s="304"/>
    <row r="44" customFormat="1" s="304"/>
    <row r="45" customFormat="1" s="304"/>
    <row r="46" customFormat="1" s="304"/>
    <row r="47" customFormat="1" s="304"/>
    <row r="48" customFormat="1" s="304"/>
    <row r="49" customFormat="1" s="304"/>
    <row r="50" customFormat="1" s="304"/>
    <row r="51" customFormat="1" s="304"/>
    <row r="52" customFormat="1" s="304"/>
    <row r="53" customFormat="1" s="304"/>
    <row r="54" customFormat="1" s="304"/>
    <row r="55" customFormat="1" s="304"/>
    <row r="56" customFormat="1" s="304"/>
    <row r="57" customFormat="1" s="304"/>
    <row r="58" customFormat="1" s="304"/>
    <row r="59" customFormat="1" s="304"/>
    <row r="60" customFormat="1" s="304"/>
    <row r="61" customFormat="1" s="304"/>
    <row r="62" customFormat="1" s="304"/>
    <row r="63" customFormat="1" s="304"/>
    <row r="64" customFormat="1" s="304"/>
    <row r="65" customFormat="1" s="304"/>
    <row r="66" customFormat="1" s="304"/>
    <row r="67" customFormat="1" s="304"/>
    <row r="68" customFormat="1" s="304"/>
    <row r="69" customFormat="1" s="304"/>
    <row r="70" customFormat="1" s="304"/>
    <row r="71" customFormat="1" s="304"/>
    <row r="72" customFormat="1" s="304"/>
    <row r="73" customFormat="1" s="304"/>
    <row r="74" customFormat="1" s="304"/>
    <row r="75" customFormat="1" s="304"/>
    <row r="76" customFormat="1" s="304"/>
    <row r="77" customFormat="1" s="304"/>
    <row r="78" customFormat="1" s="304"/>
    <row r="79" customFormat="1" s="304"/>
    <row r="80" customFormat="1" s="304"/>
    <row r="81" customFormat="1" s="304"/>
    <row r="82" customFormat="1" s="304"/>
    <row r="83" customFormat="1" s="304"/>
    <row r="84" customFormat="1" s="304"/>
    <row r="85" customFormat="1" s="304"/>
    <row r="86" customFormat="1" s="304"/>
    <row r="87" customFormat="1" s="304"/>
    <row r="88" customFormat="1" s="304"/>
    <row r="89" customFormat="1" s="304"/>
    <row r="90" customFormat="1" s="304"/>
    <row r="91" customFormat="1" s="304"/>
    <row r="92" customFormat="1" s="304"/>
    <row r="93" customFormat="1" s="304"/>
    <row r="94" customFormat="1" s="304"/>
    <row r="95" s="208"/>
    <row r="96" s="208"/>
    <row r="97" s="208"/>
    <row r="98" s="208"/>
    <row r="99" customFormat="1" s="304"/>
    <row r="100" customFormat="1" s="304"/>
    <row r="101" customFormat="1" s="304"/>
    <row r="102" customFormat="1" s="304"/>
    <row r="103" customFormat="1" s="304"/>
    <row r="104" customFormat="1" s="304"/>
    <row r="105" customFormat="1" s="304"/>
    <row r="106" customFormat="1" s="304"/>
    <row r="107" customFormat="1" s="304"/>
    <row r="108" customFormat="1" s="304"/>
    <row r="109" customFormat="1" s="304"/>
    <row r="110" customFormat="1" s="304"/>
    <row r="111" customFormat="1" s="304"/>
    <row r="112" customFormat="1" s="304"/>
    <row r="113" customFormat="1" s="304"/>
    <row r="114" customFormat="1" s="304"/>
    <row r="115" customFormat="1" s="304"/>
    <row r="116" customFormat="1" s="304"/>
    <row r="117" customFormat="1" s="304"/>
    <row r="118" customFormat="1" s="304"/>
    <row r="119" customFormat="1" s="304"/>
    <row r="120" customFormat="1" s="304"/>
    <row r="121" customFormat="1" s="304"/>
    <row r="122" s="208"/>
    <row r="123" s="208"/>
    <row r="124" customFormat="1" s="304"/>
    <row r="125" customFormat="1" s="304"/>
    <row r="126" customFormat="1" s="304"/>
    <row r="127" customFormat="1" s="304"/>
    <row r="128" customFormat="1" s="304"/>
    <row r="129" customFormat="1" s="304"/>
    <row r="130" customFormat="1" s="304"/>
    <row r="131" customFormat="1" s="304"/>
    <row r="132" customFormat="1" s="304"/>
    <row r="133" customFormat="1" s="304"/>
    <row r="134" customFormat="1" s="304"/>
    <row r="135" customFormat="1" s="304"/>
    <row r="136" s="208"/>
    <row r="137" s="208"/>
    <row r="138" s="208"/>
    <row r="139" customFormat="1" s="304"/>
    <row r="140" s="208"/>
    <row r="141" customFormat="1" s="304"/>
    <row r="142" customFormat="1" s="304"/>
    <row r="143" customFormat="1" s="304"/>
    <row r="144" customFormat="1" s="304"/>
    <row r="145" customFormat="1" s="304"/>
    <row r="146" customFormat="1" s="304"/>
    <row r="147" customFormat="1" s="304"/>
    <row r="148" customFormat="1" s="304"/>
    <row r="149" customFormat="1" s="304"/>
    <row r="150" customFormat="1" s="304"/>
    <row r="151" customFormat="1" s="304"/>
    <row r="152" customFormat="1" s="304"/>
    <row r="153" customFormat="1" s="304"/>
    <row r="154" customFormat="1" s="304"/>
    <row r="155" customFormat="1" s="304"/>
    <row r="156" customFormat="1" s="304"/>
    <row r="157" customFormat="1" s="304"/>
    <row r="158" customFormat="1" s="304"/>
    <row r="159" customFormat="1" s="304"/>
    <row r="160" customFormat="1" s="304"/>
    <row r="161" customFormat="1" s="304"/>
    <row r="162" customFormat="1" s="304"/>
    <row r="163" customFormat="1" s="304"/>
    <row r="164" customFormat="1" s="304"/>
    <row r="165" customFormat="1" s="304"/>
    <row r="166" customFormat="1" s="304"/>
    <row r="167" customFormat="1" s="304"/>
    <row r="168" customFormat="1" s="304"/>
    <row r="169" s="208"/>
    <row r="170" s="208"/>
    <row r="171" s="208"/>
    <row r="172" s="208"/>
    <row r="173" s="208"/>
    <row r="174" customFormat="1" s="304"/>
    <row r="175" customFormat="1" s="304"/>
    <row r="176" customFormat="1" s="304"/>
    <row r="177" customFormat="1" s="304"/>
    <row r="178" customFormat="1" s="304"/>
    <row r="179" customFormat="1" s="304"/>
    <row r="180" customFormat="1" s="304"/>
    <row r="181" customFormat="1" s="304"/>
    <row r="182" customFormat="1" s="304"/>
    <row r="183" customFormat="1" s="304"/>
    <row r="184" customFormat="1" s="304"/>
    <row r="185" customFormat="1" s="304"/>
    <row r="186" customFormat="1" s="304"/>
    <row r="187" customFormat="1" s="304"/>
    <row r="188" customFormat="1" s="304"/>
    <row r="189" customFormat="1" s="304"/>
    <row r="190" customFormat="1" s="304"/>
    <row r="191" customFormat="1" s="304"/>
    <row r="192" customFormat="1" s="304"/>
    <row r="193" customFormat="1" s="304"/>
    <row r="194" customFormat="1" s="304"/>
    <row r="195" customFormat="1" s="304"/>
    <row r="196" customFormat="1" s="304"/>
    <row r="197" customFormat="1" s="304"/>
    <row r="198" customFormat="1" s="304"/>
    <row r="199" customFormat="1" s="304"/>
    <row r="200" customFormat="1" s="304"/>
    <row r="201" customFormat="1" s="304"/>
    <row r="202" s="208"/>
    <row r="203" customFormat="1" s="304"/>
    <row r="204" customFormat="1" s="304"/>
    <row r="205" customFormat="1" s="304"/>
    <row r="206" customFormat="1" s="304"/>
    <row r="207" customFormat="1" s="304"/>
    <row r="208" customFormat="1" s="304"/>
    <row r="209" customFormat="1" s="304"/>
    <row r="210" customFormat="1" s="304"/>
    <row r="211" customFormat="1" s="304"/>
    <row r="212" customFormat="1" s="304"/>
    <row r="213" customFormat="1" s="304"/>
    <row r="214" customFormat="1" s="304"/>
    <row r="215" customFormat="1" s="304"/>
    <row r="216" customFormat="1" s="304"/>
    <row r="217" customFormat="1" s="304"/>
    <row r="218" customFormat="1" s="304"/>
    <row r="219" customFormat="1" s="304"/>
    <row r="220" customFormat="1" s="304"/>
    <row r="221" customFormat="1" s="304"/>
    <row r="222" customFormat="1" s="304"/>
    <row r="223" customFormat="1" s="304"/>
    <row r="224" customFormat="1" s="304"/>
    <row r="225" customFormat="1" s="304"/>
    <row r="226" customFormat="1" s="304"/>
    <row r="227" customFormat="1" s="304"/>
    <row r="228" customFormat="1" s="304"/>
    <row r="229" customFormat="1" s="304"/>
    <row r="230" customFormat="1" s="304"/>
    <row r="231" customFormat="1" s="304"/>
    <row r="232" customFormat="1" s="304"/>
    <row r="233" customFormat="1" s="304"/>
    <row r="234" customFormat="1" s="304"/>
    <row r="235" customFormat="1" s="304"/>
    <row r="236" customFormat="1" s="304"/>
    <row r="237" customFormat="1" s="304"/>
    <row r="238" customFormat="1" s="304"/>
    <row r="239" customFormat="1" s="304"/>
    <row r="240" customFormat="1" s="304"/>
    <row r="241" customFormat="1" s="304"/>
    <row r="242" customFormat="1" s="304"/>
    <row r="243" customFormat="1" s="304"/>
    <row r="244" customFormat="1" s="304"/>
    <row r="245" customFormat="1" s="304"/>
    <row r="246" customFormat="1" s="304"/>
    <row r="247" customFormat="1" s="304"/>
    <row r="248" customFormat="1" s="304"/>
    <row r="249" customFormat="1" s="304"/>
    <row r="250" customFormat="1" s="304"/>
    <row r="251" customFormat="1" s="304"/>
    <row r="252" customFormat="1" s="304"/>
    <row r="253" customFormat="1" s="304"/>
    <row r="254" customFormat="1" s="304"/>
    <row r="255" customFormat="1" s="304"/>
    <row r="256" customFormat="1" s="304"/>
    <row r="257" customFormat="1" s="304"/>
    <row r="258" customFormat="1" s="304"/>
    <row r="259" s="208"/>
    <row r="260" s="208"/>
    <row r="261" s="208"/>
    <row r="262" s="208"/>
    <row r="263" s="208"/>
    <row r="264" s="208"/>
    <row r="265" s="208"/>
    <row r="266" s="208"/>
    <row r="267" customFormat="1" s="304"/>
    <row r="268" customFormat="1" s="304"/>
    <row r="269" customFormat="1" s="304"/>
    <row r="270" customFormat="1" s="304"/>
    <row r="271" customFormat="1" s="304"/>
    <row r="272" customFormat="1" s="304"/>
    <row r="273" customFormat="1" s="304"/>
    <row r="274" customFormat="1" s="304"/>
    <row r="275" customFormat="1" s="304"/>
    <row r="276" customFormat="1" s="304"/>
    <row r="277" customFormat="1" s="304"/>
    <row r="278" customFormat="1" s="304"/>
    <row r="279" customFormat="1" s="304"/>
    <row r="280" customFormat="1" s="304"/>
    <row r="281" customFormat="1" s="304"/>
    <row r="282" customFormat="1" s="304"/>
    <row r="283" customFormat="1" s="304"/>
    <row r="284" customFormat="1" s="304"/>
    <row r="285" customFormat="1" s="304"/>
    <row r="286" customFormat="1" s="304"/>
    <row r="287" customFormat="1" s="304"/>
    <row r="288" s="208"/>
    <row r="289" customFormat="1" s="304"/>
    <row r="290" customFormat="1" s="304"/>
    <row r="291" customFormat="1" s="304"/>
    <row r="292" customFormat="1" s="304"/>
    <row r="293" customFormat="1" s="304"/>
    <row r="294" customFormat="1" s="304"/>
    <row r="295" customFormat="1" s="304"/>
    <row r="296" customFormat="1" s="304"/>
    <row r="297" customFormat="1" s="304"/>
    <row r="298" customFormat="1" s="304"/>
    <row r="299" customFormat="1" s="304"/>
    <row r="300" customFormat="1" s="304"/>
    <row r="301" customFormat="1" s="304"/>
    <row r="302" customFormat="1" s="304"/>
    <row r="303" customFormat="1" s="304"/>
    <row r="304" customFormat="1" s="304"/>
    <row r="305" customFormat="1" s="304"/>
    <row r="306" customFormat="1" s="304"/>
    <row r="307" customFormat="1" s="304"/>
    <row r="308" customFormat="1" s="304"/>
    <row r="309" customFormat="1" s="304"/>
    <row r="310" customFormat="1" s="304"/>
    <row r="311" customFormat="1" s="304"/>
    <row r="312" customFormat="1" s="304"/>
    <row r="313" customFormat="1" s="304"/>
    <row r="314" customFormat="1" s="304"/>
    <row r="315" customFormat="1" s="304"/>
    <row r="316" customFormat="1" s="304"/>
    <row r="317" customFormat="1" s="304"/>
    <row r="318" customFormat="1" s="304"/>
    <row r="319" customFormat="1" s="304"/>
    <row r="320" customFormat="1" s="304"/>
    <row r="321" customFormat="1" s="304"/>
    <row r="322" customFormat="1" s="304"/>
    <row r="323" s="208"/>
    <row r="324" customFormat="1" s="304"/>
    <row r="325" customFormat="1" s="304"/>
    <row r="326" customFormat="1" s="304"/>
    <row r="327" customFormat="1" s="304"/>
    <row r="328" customFormat="1" s="304"/>
    <row r="329" customFormat="1" s="304"/>
    <row r="330" customFormat="1" s="304"/>
    <row r="331" customFormat="1" s="304"/>
    <row r="332" customFormat="1" s="304"/>
    <row r="333" customFormat="1" s="304"/>
    <row r="334" customFormat="1" s="304"/>
    <row r="335" customFormat="1" s="304"/>
    <row r="336" customFormat="1" s="304"/>
    <row r="337" customFormat="1" s="304"/>
    <row r="338" customFormat="1" s="304"/>
    <row r="339" customFormat="1" s="304"/>
    <row r="340" customFormat="1" s="304"/>
    <row r="341" customFormat="1" s="304"/>
    <row r="342" customFormat="1" s="304"/>
    <row r="343" customFormat="1" s="304"/>
    <row r="344" customFormat="1" s="304"/>
    <row r="345" customFormat="1" s="304"/>
    <row r="346" customFormat="1" s="304"/>
    <row r="347" customFormat="1" s="304"/>
    <row r="348" customFormat="1" s="304"/>
    <row r="349" customFormat="1" s="304"/>
    <row r="350" customFormat="1" s="304"/>
    <row r="351" customFormat="1" s="304"/>
    <row r="352" customFormat="1" s="304"/>
    <row r="353" customFormat="1" s="304"/>
    <row r="354" customFormat="1" s="304"/>
    <row r="355" customFormat="1" s="304"/>
    <row r="356" customFormat="1" s="304"/>
    <row r="357" customFormat="1" s="304"/>
    <row r="358" customFormat="1" s="304"/>
    <row r="359" customFormat="1" s="304"/>
    <row r="360" customFormat="1" s="304"/>
    <row r="361" customFormat="1" s="304"/>
    <row r="362" customFormat="1" s="304"/>
    <row r="363" customFormat="1" s="304"/>
    <row r="364" customFormat="1" s="304"/>
    <row r="365" customFormat="1" s="304"/>
    <row r="366" customFormat="1" s="304"/>
    <row r="367" customFormat="1" s="304"/>
    <row r="368" customFormat="1" s="304"/>
    <row r="369" customFormat="1" s="304"/>
    <row r="370" customFormat="1" s="304"/>
    <row r="371" customFormat="1" s="304"/>
    <row r="372" customFormat="1" s="304"/>
    <row r="373" customFormat="1" s="304"/>
    <row r="374" customFormat="1" s="304"/>
    <row r="375" customFormat="1" s="304"/>
    <row r="376" customFormat="1" s="304"/>
    <row r="377" customFormat="1" s="304"/>
    <row r="378" customFormat="1" s="304"/>
    <row r="379" customFormat="1" s="304"/>
    <row r="380" customFormat="1" s="304"/>
    <row r="381" customFormat="1" s="304"/>
    <row r="382" customFormat="1" s="304"/>
    <row r="383" customFormat="1" s="304"/>
    <row r="384" customFormat="1" s="304"/>
    <row r="385" customFormat="1" s="304"/>
    <row r="386" customFormat="1" s="304"/>
    <row r="387" customFormat="1" s="304"/>
    <row r="388" customFormat="1" s="304"/>
    <row r="389" customFormat="1" s="304"/>
    <row r="390" customFormat="1" s="304"/>
    <row r="391" customFormat="1" s="304"/>
    <row r="392" customFormat="1" s="304"/>
    <row r="393" customFormat="1" s="304"/>
    <row r="394" customFormat="1" s="304"/>
    <row r="395" customFormat="1" s="304"/>
    <row r="396" customFormat="1" s="304"/>
    <row r="397" customFormat="1" s="304"/>
    <row r="398" customFormat="1" s="304"/>
    <row r="399" customFormat="1" s="304"/>
    <row r="400" customFormat="1" s="304"/>
    <row r="403" customFormat="1" s="304"/>
    <row r="404" customFormat="1" s="304"/>
    <row r="405" customFormat="1" s="304"/>
    <row r="406" customFormat="1" s="304"/>
    <row r="407" customFormat="1" s="304"/>
    <row r="408" customFormat="1" s="304"/>
    <row r="411" customFormat="1" s="304"/>
    <row r="412" customFormat="1" s="304"/>
    <row r="413" customFormat="1" s="304"/>
    <row r="414" customFormat="1" s="304"/>
    <row r="415" customFormat="1" s="304"/>
    <row r="416" customFormat="1" s="304"/>
    <row r="418" customFormat="1" s="304"/>
    <row r="419" customFormat="1" s="304"/>
    <row r="420" customFormat="1" s="304"/>
    <row r="421" customFormat="1" s="304"/>
    <row r="422" customFormat="1" s="304"/>
    <row r="423" customFormat="1" s="304"/>
    <row r="424" customFormat="1" s="304"/>
    <row r="425" customFormat="1" s="304"/>
    <row r="426" customFormat="1" s="304"/>
    <row r="428" customFormat="1" s="304"/>
    <row r="429" customFormat="1" s="304"/>
    <row r="430" customFormat="1" s="304"/>
    <row r="431" customFormat="1" s="304"/>
    <row r="432" customFormat="1" s="304"/>
    <row r="433" customFormat="1" s="304"/>
    <row r="434" customFormat="1" s="304"/>
    <row r="435" customFormat="1" s="304"/>
    <row r="436" customFormat="1" s="304"/>
    <row r="437" customFormat="1" s="304"/>
    <row r="438" customFormat="1" s="304"/>
    <row r="439" customFormat="1" s="304"/>
    <row r="440" customFormat="1" s="304"/>
    <row r="441" customFormat="1" s="304"/>
    <row r="442" customFormat="1" s="304"/>
    <row r="443" customFormat="1" s="304"/>
    <row r="444" customFormat="1" s="304"/>
    <row r="445" customFormat="1" s="304"/>
    <row r="446" customFormat="1" s="304"/>
    <row r="447" customFormat="1" s="304"/>
    <row r="448" customFormat="1" s="304"/>
    <row r="449" customFormat="1" s="304"/>
    <row r="450" customFormat="1" s="304"/>
    <row r="451" customFormat="1" s="304"/>
    <row r="452" customFormat="1" s="304"/>
    <row r="453" customFormat="1" s="304"/>
    <row r="454" customFormat="1" s="304"/>
    <row r="455" customFormat="1" s="304"/>
    <row r="456" customFormat="1" s="304"/>
    <row r="457" customFormat="1" s="304"/>
    <row r="458" customFormat="1" s="304"/>
    <row r="459" customFormat="1" s="304"/>
    <row r="460" customFormat="1" s="304"/>
    <row r="461" customFormat="1" s="304"/>
    <row r="462" customFormat="1" s="304"/>
    <row r="463" customFormat="1" s="304"/>
    <row r="464" customFormat="1" s="304"/>
    <row r="465" customFormat="1" s="304"/>
    <row r="466" customFormat="1" s="304"/>
    <row r="467" customFormat="1" s="304"/>
    <row r="468" customFormat="1" s="304"/>
    <row r="469" customFormat="1" s="304"/>
    <row r="470" customFormat="1" s="304"/>
    <row r="471" customFormat="1" s="304"/>
    <row r="472" customFormat="1" s="304"/>
    <row r="473" customFormat="1" s="304"/>
    <row r="474" customFormat="1" s="304"/>
    <row r="475" customFormat="1" s="304"/>
    <row r="476" customFormat="1" s="304"/>
    <row r="477" customFormat="1" s="304"/>
    <row r="478" customFormat="1" s="304"/>
    <row r="479" customFormat="1" s="304"/>
    <row r="480" customFormat="1" s="304"/>
    <row r="481" customFormat="1" s="304"/>
    <row r="482" customFormat="1" s="304"/>
    <row r="483" customFormat="1" s="304"/>
    <row r="484" customFormat="1" s="304"/>
    <row r="485" customFormat="1" s="304"/>
    <row r="486" customFormat="1" s="304"/>
    <row r="487" customFormat="1" s="304"/>
    <row r="488" customFormat="1" s="304"/>
    <row r="489" customFormat="1" s="304"/>
    <row r="490" customFormat="1" s="304"/>
    <row r="491" customFormat="1" s="304"/>
    <row r="492" customFormat="1" s="304"/>
    <row r="493" customFormat="1" s="304"/>
    <row r="494" customFormat="1" s="304"/>
    <row r="495" customFormat="1" s="304"/>
    <row r="496" customFormat="1" s="304"/>
    <row r="497" customFormat="1" s="304"/>
    <row r="498" customFormat="1" s="304"/>
    <row r="499" customFormat="1" s="304"/>
    <row r="500" customFormat="1" s="304"/>
    <row r="501" customFormat="1" s="304"/>
    <row r="502" customFormat="1" s="304"/>
    <row r="503" customFormat="1" s="304"/>
    <row r="504" customFormat="1" s="304"/>
    <row r="505" customFormat="1" s="304"/>
    <row r="506" customFormat="1" s="304"/>
    <row r="507" customFormat="1" s="304"/>
    <row r="508" customFormat="1" s="304"/>
    <row r="509" customFormat="1" s="304"/>
    <row r="510" customFormat="1" s="304"/>
    <row r="511" customFormat="1" s="304"/>
    <row r="512" customFormat="1" s="304"/>
    <row r="513" customFormat="1" s="304"/>
    <row r="514" customFormat="1" s="304"/>
    <row r="515" customFormat="1" s="304"/>
    <row r="516" customFormat="1" s="304"/>
    <row r="517" customFormat="1" s="304"/>
    <row r="518" customFormat="1" s="304"/>
    <row r="519" customFormat="1" s="304"/>
    <row r="520" customFormat="1" s="304"/>
    <row r="521" customFormat="1" s="304"/>
    <row r="522" customFormat="1" s="304"/>
    <row r="523" customFormat="1" s="304"/>
    <row r="524" customFormat="1" s="304"/>
    <row r="525" customFormat="1" s="304"/>
    <row r="526" customFormat="1" s="304"/>
    <row r="527" customFormat="1" s="304"/>
    <row r="528" customFormat="1" s="304"/>
    <row r="529" customFormat="1" s="304"/>
    <row r="530" customFormat="1" s="304"/>
    <row r="531" customFormat="1" s="304"/>
    <row r="532" customFormat="1" s="304"/>
    <row r="533" customFormat="1" s="304"/>
    <row r="534" customFormat="1" s="304"/>
    <row r="535" customFormat="1" s="304"/>
    <row r="536" customFormat="1" s="304"/>
    <row r="537" customFormat="1" s="304"/>
    <row r="538" customFormat="1" s="304"/>
    <row r="539" customFormat="1" s="304"/>
    <row r="540" customFormat="1" s="304"/>
    <row r="541" customFormat="1" s="304"/>
    <row r="542" customFormat="1" s="304"/>
    <row r="543" customFormat="1" s="304"/>
    <row r="544" customFormat="1" s="304"/>
    <row r="545" customFormat="1" s="304"/>
    <row r="546" customFormat="1" s="304"/>
    <row r="547" customFormat="1" s="304"/>
    <row r="548" customFormat="1" s="304"/>
    <row r="549" customFormat="1" s="304"/>
    <row r="550" customFormat="1" s="304"/>
    <row r="551" customFormat="1" s="304"/>
    <row r="552" customFormat="1" s="304"/>
    <row r="553" customFormat="1" s="304"/>
    <row r="554" customFormat="1" s="304"/>
    <row r="555" customFormat="1" s="304"/>
    <row r="556" customFormat="1" s="304"/>
    <row r="557" customFormat="1" s="304"/>
    <row r="558" customFormat="1" s="304"/>
    <row r="559" customFormat="1" s="304"/>
    <row r="560" customFormat="1" s="304"/>
    <row r="561" customFormat="1" s="304"/>
    <row r="562" customFormat="1" s="304"/>
    <row r="563" customFormat="1" s="304"/>
    <row r="564" customFormat="1" s="304"/>
    <row r="565" customFormat="1" s="304"/>
    <row r="566" customFormat="1" s="304"/>
    <row r="567" customFormat="1" s="304"/>
    <row r="568" customFormat="1" s="304"/>
    <row r="569" customFormat="1" s="304"/>
    <row r="570" customFormat="1" s="304"/>
    <row r="571" customFormat="1" s="304"/>
    <row r="572" customFormat="1" s="304"/>
    <row r="573" customFormat="1" s="304"/>
    <row r="574" customFormat="1" s="304"/>
    <row r="575" customFormat="1" s="304"/>
    <row r="576" customFormat="1" s="304"/>
    <row r="577" customFormat="1" s="304"/>
    <row r="578" customFormat="1" s="304"/>
    <row r="579" customFormat="1" s="304"/>
    <row r="580" customFormat="1" s="304"/>
    <row r="581" customFormat="1" s="304"/>
    <row r="582" customFormat="1" s="304"/>
    <row r="583" customFormat="1" s="304"/>
    <row r="584" customFormat="1" s="304"/>
    <row r="585" customFormat="1" s="304"/>
    <row r="586" customFormat="1" s="304"/>
    <row r="587" customFormat="1" s="304"/>
    <row r="588" customFormat="1" s="304"/>
    <row r="589" customFormat="1" s="304"/>
    <row r="590" customFormat="1" s="304"/>
    <row r="591" customFormat="1" s="304"/>
    <row r="592" customFormat="1" s="304"/>
    <row r="593" customFormat="1" s="304"/>
    <row r="594" customFormat="1" s="304"/>
    <row r="595" customFormat="1" s="304"/>
    <row r="596" customFormat="1" s="304"/>
    <row r="597" customFormat="1" s="304"/>
    <row r="598" customFormat="1" s="304"/>
    <row r="599" customFormat="1" s="304"/>
    <row r="600" customFormat="1" s="304"/>
    <row r="601" customFormat="1" s="304"/>
    <row r="602" customFormat="1" s="304"/>
    <row r="603" customFormat="1" s="304"/>
    <row r="604" customFormat="1" s="304"/>
    <row r="605" customFormat="1" s="304"/>
    <row r="606" customFormat="1" s="304"/>
    <row r="607" customFormat="1" s="304"/>
    <row r="608" customFormat="1" s="304"/>
    <row r="609" customFormat="1" s="304"/>
    <row r="610" customFormat="1" s="304"/>
    <row r="611" customFormat="1" s="304"/>
    <row r="612" customFormat="1" s="304"/>
    <row r="613" customFormat="1" s="304"/>
    <row r="614" customFormat="1" s="304"/>
    <row r="615" customFormat="1" s="304"/>
    <row r="616" customFormat="1" s="304"/>
    <row r="617" customFormat="1" s="304"/>
    <row r="618" customFormat="1" s="304"/>
    <row r="619" customFormat="1" s="304"/>
    <row r="620" customFormat="1" s="304"/>
    <row r="621" customFormat="1" s="304"/>
    <row r="622" customFormat="1" s="304"/>
    <row r="623" customFormat="1" s="304"/>
    <row r="624" customFormat="1" s="304"/>
    <row r="625" customFormat="1" s="304"/>
    <row r="626" customFormat="1" s="304"/>
    <row r="627" customFormat="1" s="304"/>
    <row r="628" customFormat="1" s="304"/>
    <row r="629" customFormat="1" s="304"/>
    <row r="630" customFormat="1" s="304"/>
    <row r="631" customFormat="1" s="304"/>
    <row r="632" customFormat="1" s="304"/>
    <row r="633" customFormat="1" s="304"/>
    <row r="634" customFormat="1" s="304"/>
    <row r="635" customFormat="1" s="304"/>
    <row r="636" customFormat="1" s="304"/>
    <row r="637" customFormat="1" s="304"/>
    <row r="638" customFormat="1" s="304"/>
    <row r="639" customFormat="1" s="304"/>
    <row r="640" customFormat="1" s="304"/>
    <row r="641" customFormat="1" s="304"/>
    <row r="642" customFormat="1" s="304"/>
    <row r="643" customFormat="1" s="304"/>
    <row r="644" customFormat="1" s="304"/>
    <row r="645" customFormat="1" s="304"/>
    <row r="646" customFormat="1" s="304"/>
    <row r="647" customFormat="1" s="304"/>
    <row r="648" customFormat="1" s="304"/>
    <row r="649" customFormat="1" s="304"/>
    <row r="650" customFormat="1" s="304"/>
    <row r="651" customFormat="1" s="304"/>
    <row r="652" customFormat="1" s="304"/>
    <row r="653" customFormat="1" s="304"/>
    <row r="654" customFormat="1" s="304"/>
    <row r="655" customFormat="1" s="304"/>
    <row r="656" customFormat="1" s="304"/>
    <row r="657" customFormat="1" s="304"/>
    <row r="658" customFormat="1" s="304"/>
    <row r="659" customFormat="1" s="304"/>
    <row r="660" customFormat="1" s="304"/>
    <row r="661" customFormat="1" s="304"/>
    <row r="662" customFormat="1" s="304"/>
    <row r="663" customFormat="1" s="304"/>
    <row r="664" customFormat="1" s="304"/>
    <row r="665" customFormat="1" s="304"/>
    <row r="666" customFormat="1" s="304"/>
    <row r="667" customFormat="1" s="304"/>
    <row r="668" customFormat="1" s="304"/>
    <row r="669" customFormat="1" s="304"/>
    <row r="670" customFormat="1" s="304"/>
    <row r="671" customFormat="1" s="304"/>
    <row r="672" customFormat="1" s="304"/>
    <row r="673" customFormat="1" s="304"/>
    <row r="674" customFormat="1" s="304"/>
    <row r="675" customFormat="1" s="304"/>
    <row r="676" customFormat="1" s="304"/>
    <row r="677" customFormat="1" s="304"/>
    <row r="678" customFormat="1" s="304"/>
    <row r="679" customFormat="1" s="304"/>
    <row r="680" customFormat="1" s="304"/>
    <row r="681" customFormat="1" s="304"/>
    <row r="682" customFormat="1" s="304"/>
    <row r="683" customFormat="1" s="304"/>
    <row r="684" customFormat="1" s="304"/>
    <row r="685" customFormat="1" s="304"/>
    <row r="686" customFormat="1" s="304"/>
    <row r="687" customFormat="1" s="304"/>
    <row r="688" customFormat="1" s="304"/>
    <row r="689" customFormat="1" s="304"/>
    <row r="690" customFormat="1" s="304"/>
    <row r="691" customFormat="1" s="304"/>
    <row r="692" customFormat="1" s="304"/>
    <row r="693" customFormat="1" s="304"/>
    <row r="694" customFormat="1" s="304"/>
    <row r="695" customFormat="1" s="304"/>
    <row r="696" customFormat="1" s="304"/>
    <row r="697" customFormat="1" s="304"/>
    <row r="698" customFormat="1" s="304"/>
    <row r="699" customFormat="1" s="304"/>
    <row r="700" customFormat="1" s="304"/>
    <row r="701" customFormat="1" s="304"/>
    <row r="702" customFormat="1" s="304"/>
    <row r="703" customFormat="1" s="304"/>
    <row r="704" customFormat="1" s="304"/>
    <row r="705" customFormat="1" s="304"/>
    <row r="706" customFormat="1" s="304"/>
    <row r="707" customFormat="1" s="304"/>
    <row r="708" customFormat="1" s="304"/>
    <row r="709" customFormat="1" s="304"/>
    <row r="710" customFormat="1" s="304"/>
    <row r="711" customFormat="1" s="304"/>
    <row r="712" customFormat="1" s="304"/>
    <row r="713" customFormat="1" s="304"/>
    <row r="714" customFormat="1" s="304"/>
    <row r="715" customFormat="1" s="304"/>
    <row r="716" customFormat="1" s="304"/>
    <row r="717" customFormat="1" s="304"/>
    <row r="718" customFormat="1" s="304"/>
    <row r="719" customFormat="1" s="304"/>
    <row r="720" customFormat="1" s="304"/>
    <row r="721" customFormat="1" s="304"/>
    <row r="722" customFormat="1" s="304"/>
    <row r="723" customFormat="1" s="304"/>
    <row r="724" customFormat="1" s="304"/>
    <row r="725" customFormat="1" s="304"/>
    <row r="726" customFormat="1" s="304"/>
    <row r="727" customFormat="1" s="304"/>
    <row r="728" customFormat="1" s="304"/>
    <row r="729" customFormat="1" s="304"/>
    <row r="730" customFormat="1" s="304"/>
    <row r="731" customFormat="1" s="304"/>
    <row r="732" customFormat="1" s="304"/>
    <row r="733" customFormat="1" s="304"/>
    <row r="734" customFormat="1" s="304"/>
    <row r="735" customFormat="1" s="304"/>
    <row r="736" customFormat="1" s="304"/>
    <row r="737" customFormat="1" s="304"/>
    <row r="738" customFormat="1" s="304"/>
    <row r="739" customFormat="1" s="304"/>
    <row r="740" customFormat="1" s="304"/>
    <row r="741" customFormat="1" s="304"/>
    <row r="742" customFormat="1" s="304"/>
    <row r="743" customFormat="1" s="304"/>
    <row r="744" customFormat="1" s="304"/>
    <row r="745" customFormat="1" s="304"/>
    <row r="746" customFormat="1" s="304"/>
    <row r="747" customFormat="1" s="304"/>
    <row r="748" customFormat="1" s="304"/>
    <row r="749" customFormat="1" s="304"/>
    <row r="750" customFormat="1" s="304"/>
    <row r="751" customFormat="1" s="304"/>
    <row r="752" customFormat="1" s="304"/>
    <row r="753" customFormat="1" s="304"/>
    <row r="754" customFormat="1" s="304"/>
    <row r="755" customFormat="1" s="304"/>
    <row r="756" customFormat="1" s="304"/>
    <row r="757" customFormat="1" s="304"/>
    <row r="758" customFormat="1" s="304"/>
    <row r="759" customFormat="1" s="304"/>
    <row r="760" customFormat="1" s="304"/>
    <row r="761" customFormat="1" s="304"/>
    <row r="762" customFormat="1" s="304"/>
    <row r="763" customFormat="1" s="304"/>
    <row r="764" customFormat="1" s="304"/>
    <row r="765" customFormat="1" s="304"/>
    <row r="766" customFormat="1" s="304"/>
    <row r="767" customFormat="1" s="304"/>
    <row r="768" customFormat="1" s="304"/>
    <row r="769" customFormat="1" s="304"/>
    <row r="770" customFormat="1" s="304"/>
    <row r="771" customFormat="1" s="304"/>
    <row r="772" customFormat="1" s="304"/>
    <row r="773" customFormat="1" s="304"/>
    <row r="774" customFormat="1" s="304"/>
    <row r="775" customFormat="1" s="304"/>
    <row r="776" customFormat="1" s="304"/>
    <row r="777" customFormat="1" s="304"/>
    <row r="778" customFormat="1" s="304"/>
    <row r="779" customFormat="1" s="304"/>
    <row r="780" customFormat="1" s="304"/>
    <row r="781" customFormat="1" s="304"/>
    <row r="782" customFormat="1" s="304"/>
    <row r="783" customFormat="1" s="304"/>
    <row r="784" customFormat="1" s="304"/>
    <row r="785" customFormat="1" s="304"/>
    <row r="786" customFormat="1" s="304"/>
    <row r="787" customFormat="1" s="304"/>
    <row r="788" customFormat="1" s="304"/>
    <row r="789" customFormat="1" s="304"/>
    <row r="790" customFormat="1" s="304"/>
    <row r="791" customFormat="1" s="304"/>
    <row r="792" customFormat="1" s="304"/>
    <row r="793" customFormat="1" s="304"/>
    <row r="794" customFormat="1" s="304"/>
    <row r="795" customFormat="1" s="304"/>
    <row r="796" customFormat="1" s="304"/>
    <row r="797" customFormat="1" s="304"/>
    <row r="798" customFormat="1" s="304"/>
    <row r="799" customFormat="1" s="304"/>
    <row r="800" customFormat="1" s="304"/>
    <row r="801" customFormat="1" s="304"/>
    <row r="802" customFormat="1" s="304"/>
    <row r="803" customFormat="1" s="304"/>
    <row r="804" customFormat="1" s="304"/>
    <row r="805" customFormat="1" s="304"/>
    <row r="806" customFormat="1" s="304"/>
    <row r="807" customFormat="1" s="304"/>
    <row r="808" customFormat="1" s="304"/>
    <row r="809" customFormat="1" s="304"/>
    <row r="810" customFormat="1" s="304"/>
    <row r="811" customFormat="1" s="304"/>
    <row r="812" customFormat="1" s="304"/>
    <row r="813" customFormat="1" s="304"/>
    <row r="814" customFormat="1" s="304"/>
    <row r="815" customFormat="1" s="304"/>
    <row r="816" customFormat="1" s="304"/>
    <row r="817" customFormat="1" s="304"/>
    <row r="818" customFormat="1" s="304"/>
    <row r="819" customFormat="1" s="304"/>
    <row r="820" customFormat="1" s="304"/>
    <row r="821" customFormat="1" s="304"/>
    <row r="822" customFormat="1" s="304"/>
    <row r="823" customFormat="1" s="304"/>
    <row r="824" customFormat="1" s="304"/>
    <row r="825" customFormat="1" s="304"/>
    <row r="826" customFormat="1" s="304"/>
    <row r="827" customFormat="1" s="304"/>
    <row r="828" customFormat="1" s="304"/>
    <row r="829" customFormat="1" s="304"/>
    <row r="830" customFormat="1" s="304"/>
    <row r="831" customFormat="1" s="304"/>
    <row r="832" customFormat="1" s="304"/>
    <row r="833" customFormat="1" s="304"/>
    <row r="834" customFormat="1" s="304"/>
    <row r="835" customFormat="1" s="304"/>
    <row r="836" customFormat="1" s="304"/>
    <row r="837" customFormat="1" s="304"/>
    <row r="838" customFormat="1" s="304"/>
    <row r="839" customFormat="1" s="304"/>
    <row r="840" customFormat="1" s="304"/>
    <row r="841" customFormat="1" s="304"/>
    <row r="842" customFormat="1" s="304"/>
    <row r="843" customFormat="1" s="304"/>
    <row r="844" customFormat="1" s="304"/>
    <row r="845" customFormat="1" s="304"/>
    <row r="846" customFormat="1" s="304"/>
    <row r="847" customFormat="1" s="304"/>
    <row r="848" customFormat="1" s="304"/>
    <row r="849" customFormat="1" s="304"/>
    <row r="850" customFormat="1" s="304"/>
    <row r="851" customFormat="1" s="304"/>
    <row r="852" customFormat="1" s="304"/>
    <row r="853" customFormat="1" s="304"/>
    <row r="854" customFormat="1" s="304"/>
    <row r="855" customFormat="1" s="304"/>
    <row r="856" customFormat="1" s="304"/>
    <row r="857" customFormat="1" s="304"/>
    <row r="858" customFormat="1" s="304"/>
    <row r="859" customFormat="1" s="304"/>
    <row r="860" customFormat="1" s="304"/>
    <row r="861" customFormat="1" s="304"/>
    <row r="862" customFormat="1" s="304"/>
    <row r="863" customFormat="1" s="304"/>
    <row r="864" customFormat="1" s="304"/>
    <row r="865" customFormat="1" s="304"/>
    <row r="866" customFormat="1" s="304"/>
    <row r="867" customFormat="1" s="304"/>
    <row r="868" customFormat="1" s="304"/>
    <row r="869" customFormat="1" s="304"/>
    <row r="870" customFormat="1" s="304"/>
    <row r="871" customFormat="1" s="304"/>
    <row r="872" customFormat="1" s="304"/>
    <row r="873" customFormat="1" s="304"/>
    <row r="874" customFormat="1" s="304"/>
    <row r="875" customFormat="1" s="304"/>
    <row r="876" customFormat="1" s="304"/>
    <row r="877" customFormat="1" s="304"/>
    <row r="878" customFormat="1" s="304"/>
    <row r="879" customFormat="1" s="304"/>
    <row r="880" customFormat="1" s="304"/>
    <row r="881" customFormat="1" s="304"/>
    <row r="882" customFormat="1" s="304"/>
    <row r="883" customFormat="1" s="304"/>
    <row r="884" customFormat="1" s="304"/>
    <row r="885" customFormat="1" s="304"/>
    <row r="886" customFormat="1" s="304"/>
    <row r="887" customFormat="1" s="304"/>
    <row r="888" customFormat="1" s="304"/>
    <row r="889" customFormat="1" s="304"/>
    <row r="890" customFormat="1" s="304"/>
    <row r="891" customFormat="1" s="304"/>
    <row r="892" customFormat="1" s="304"/>
    <row r="893" customFormat="1" s="304"/>
    <row r="894" customFormat="1" s="304"/>
    <row r="895" customFormat="1" s="304"/>
    <row r="896" customFormat="1" s="304"/>
    <row r="897" customFormat="1" s="304"/>
    <row r="898" customFormat="1" s="304"/>
    <row r="899" customFormat="1" s="304"/>
    <row r="900" customFormat="1" s="304"/>
    <row r="901" customFormat="1" s="304"/>
    <row r="902" customFormat="1" s="304"/>
    <row r="903" customFormat="1" s="304"/>
    <row r="904" customFormat="1" s="304"/>
    <row r="905" customFormat="1" s="304"/>
    <row r="906" customFormat="1" s="304"/>
    <row r="907" customFormat="1" s="304"/>
    <row r="908" customFormat="1" s="304"/>
    <row r="909" customFormat="1" s="304"/>
    <row r="910" customFormat="1" s="304"/>
    <row r="911" customFormat="1" s="304"/>
    <row r="912" customFormat="1" s="304"/>
    <row r="913" customFormat="1" s="304"/>
    <row r="914" customFormat="1" s="304"/>
    <row r="915" customFormat="1" s="304"/>
    <row r="916" customFormat="1" s="304"/>
    <row r="917" customFormat="1" s="304"/>
    <row r="918" customFormat="1" s="304"/>
    <row r="919" customFormat="1" s="304"/>
    <row r="920" customFormat="1" s="304"/>
    <row r="921" customFormat="1" s="304"/>
    <row r="922" customFormat="1" s="304"/>
    <row r="923" customFormat="1" s="304"/>
    <row r="924" customFormat="1" s="304"/>
    <row r="925" customFormat="1" s="304"/>
    <row r="926" customFormat="1" s="304"/>
    <row r="927" customFormat="1" s="304"/>
    <row r="928" customFormat="1" s="304"/>
    <row r="929" customFormat="1" s="304"/>
    <row r="930" customFormat="1" s="304"/>
    <row r="931" customFormat="1" s="304"/>
    <row r="932" customFormat="1" s="304"/>
    <row r="933" customFormat="1" s="304"/>
    <row r="934" customFormat="1" s="304"/>
    <row r="935" customFormat="1" s="304"/>
    <row r="936" customFormat="1" s="304"/>
    <row r="937" customFormat="1" s="304"/>
    <row r="938" customFormat="1" s="304"/>
    <row r="939" customFormat="1" s="304"/>
    <row r="940" customFormat="1" s="304"/>
    <row r="941" customFormat="1" s="304"/>
    <row r="942" customFormat="1" s="304"/>
    <row r="943" customFormat="1" s="304"/>
    <row r="944" customFormat="1" s="304"/>
    <row r="945" customFormat="1" s="304"/>
    <row r="946" customFormat="1" s="304"/>
    <row r="947" customFormat="1" s="304"/>
    <row r="948" customFormat="1" s="304"/>
    <row r="949" customFormat="1" s="304"/>
    <row r="950" customFormat="1" s="304"/>
    <row r="951" customFormat="1" s="304"/>
    <row r="952" customFormat="1" s="304"/>
    <row r="953" customFormat="1" s="304"/>
    <row r="954" customFormat="1" s="304"/>
    <row r="955" customFormat="1" s="304"/>
    <row r="956" customFormat="1" s="304"/>
    <row r="957" customFormat="1" s="304"/>
    <row r="958" customFormat="1" s="304"/>
    <row r="959" customFormat="1" s="304"/>
    <row r="960" customFormat="1" s="304"/>
    <row r="961" customFormat="1" s="304"/>
    <row r="962" customFormat="1" s="304"/>
    <row r="963" customFormat="1" s="304"/>
    <row r="964" customFormat="1" s="304"/>
    <row r="965" customFormat="1" s="304"/>
    <row r="966" customFormat="1" s="304"/>
    <row r="967" customFormat="1" s="304"/>
    <row r="968" customFormat="1" s="304"/>
    <row r="969" customFormat="1" s="304"/>
    <row r="970" customFormat="1" s="304"/>
    <row r="971" customFormat="1" s="304"/>
    <row r="972" customFormat="1" s="304"/>
    <row r="973" customFormat="1" s="304"/>
    <row r="974" customFormat="1" s="304"/>
    <row r="975" customFormat="1" s="304"/>
    <row r="976" customFormat="1" s="304"/>
    <row r="977" customFormat="1" s="304"/>
    <row r="978" customFormat="1" s="304"/>
    <row r="979" customFormat="1" s="304"/>
    <row r="980" customFormat="1" s="304"/>
    <row r="981" customFormat="1" s="304"/>
    <row r="982" customFormat="1" s="304"/>
    <row r="983" customFormat="1" s="304"/>
    <row r="984" customFormat="1" s="304"/>
    <row r="985" customFormat="1" s="304"/>
    <row r="986" customFormat="1" s="304"/>
    <row r="987" customFormat="1" s="304"/>
    <row r="988" customFormat="1" s="304"/>
    <row r="989" customFormat="1" s="304"/>
    <row r="990" customFormat="1" s="304"/>
    <row r="991" customFormat="1" s="304"/>
    <row r="992" customFormat="1" s="304"/>
    <row r="993" customFormat="1" s="304"/>
    <row r="994" customFormat="1" s="304"/>
    <row r="995" customFormat="1" s="304"/>
    <row r="996" customFormat="1" s="304"/>
    <row r="997" customFormat="1" s="304"/>
    <row r="998" customFormat="1" s="304"/>
    <row r="999" customFormat="1" s="304"/>
    <row r="1000" customFormat="1" s="304"/>
    <row r="1001" customFormat="1" s="304"/>
    <row r="1002" customFormat="1" s="304"/>
    <row r="1003" customFormat="1" s="304"/>
    <row r="1004" customFormat="1" s="304"/>
    <row r="1005" customFormat="1" s="304"/>
    <row r="1006" customFormat="1" s="304"/>
    <row r="1007" customFormat="1" s="304"/>
    <row r="1008" customFormat="1" s="304"/>
    <row r="1009" customFormat="1" s="304"/>
    <row r="1010" customFormat="1" s="304"/>
    <row r="1011" customFormat="1" s="304"/>
    <row r="1012" customFormat="1" s="304"/>
    <row r="1013" customFormat="1" s="304"/>
    <row r="1014" customFormat="1" s="304"/>
    <row r="1015" customFormat="1" s="304"/>
    <row r="1016" customFormat="1" s="304"/>
    <row r="1017" customFormat="1" s="304"/>
    <row r="1018" customFormat="1" s="304"/>
    <row r="1019" customFormat="1" s="304"/>
    <row r="1020" customFormat="1" s="304"/>
    <row r="1021" customFormat="1" s="304"/>
    <row r="1022" customFormat="1" s="304"/>
    <row r="1023" customFormat="1" s="304"/>
    <row r="1024" customFormat="1" s="304"/>
    <row r="1025" customFormat="1" s="304"/>
    <row r="1026" customFormat="1" s="304"/>
    <row r="1027" customFormat="1" s="304"/>
    <row r="1028" customFormat="1" s="304"/>
    <row r="1029" customFormat="1" s="304"/>
    <row r="1030" customFormat="1" s="304"/>
    <row r="1031" customFormat="1" s="304"/>
    <row r="1032" customFormat="1" s="304"/>
    <row r="1033" customFormat="1" s="304"/>
    <row r="1034" customFormat="1" s="304"/>
    <row r="1035" customFormat="1" s="304"/>
    <row r="1036" customFormat="1" s="304"/>
    <row r="1037" customFormat="1" s="304"/>
    <row r="1038" customFormat="1" s="304"/>
    <row r="1039" customFormat="1" s="304"/>
    <row r="1040" customFormat="1" s="304"/>
    <row r="1041" customFormat="1" s="304"/>
    <row r="1042" customFormat="1" s="304"/>
    <row r="1043" customFormat="1" s="304"/>
    <row r="1044" customFormat="1" s="304"/>
    <row r="1045" customFormat="1" s="304"/>
    <row r="1046" customFormat="1" s="304"/>
    <row r="1047" customFormat="1" s="304"/>
    <row r="1048" customFormat="1" s="304"/>
    <row r="1049" customFormat="1" s="304"/>
    <row r="1050" customFormat="1" s="304"/>
    <row r="1051" customFormat="1" s="304"/>
    <row r="1052" customFormat="1" s="304"/>
    <row r="1053" customFormat="1" s="304"/>
    <row r="1054" customFormat="1" s="304"/>
    <row r="1055" customFormat="1" s="304"/>
    <row r="1056" customFormat="1" s="304"/>
    <row r="1057" customFormat="1" s="304"/>
    <row r="1058" customFormat="1" s="304"/>
    <row r="1059" customFormat="1" s="304"/>
    <row r="1060" customFormat="1" s="304"/>
    <row r="1061" customFormat="1" s="304"/>
    <row r="1062" customFormat="1" s="304"/>
    <row r="1063" customFormat="1" s="304"/>
    <row r="1064" customFormat="1" s="304"/>
    <row r="1065" customFormat="1" s="304"/>
    <row r="1066" customFormat="1" s="304"/>
    <row r="1067" customFormat="1" s="304"/>
    <row r="1068" customFormat="1" s="304"/>
    <row r="1069" customFormat="1" s="304"/>
    <row r="1070" customFormat="1" s="304"/>
    <row r="1071" customFormat="1" s="304"/>
    <row r="1072" customFormat="1" s="304"/>
    <row r="1073" customFormat="1" s="304"/>
    <row r="1074" customFormat="1" s="304"/>
    <row r="1075" customFormat="1" s="304"/>
    <row r="1076" customFormat="1" s="304"/>
    <row r="1077" customFormat="1" s="304"/>
    <row r="1078" customFormat="1" s="304"/>
    <row r="1079" customFormat="1" s="304"/>
    <row r="1080" customFormat="1" s="304"/>
    <row r="1081" customFormat="1" s="304"/>
    <row r="1082" customFormat="1" s="304"/>
    <row r="1083" customFormat="1" s="304"/>
    <row r="1084" customFormat="1" s="304"/>
    <row r="1085" customFormat="1" s="304"/>
    <row r="1086" customFormat="1" s="304"/>
    <row r="1087" customFormat="1" s="304"/>
    <row r="1088" customFormat="1" s="304"/>
    <row r="1089" customFormat="1" s="304"/>
    <row r="1090" customFormat="1" s="304"/>
    <row r="1091" customFormat="1" s="304"/>
    <row r="1092" customFormat="1" s="304"/>
    <row r="1093" customFormat="1" s="304"/>
    <row r="1094" customFormat="1" s="304"/>
    <row r="1095" customFormat="1" s="304"/>
    <row r="1096" customFormat="1" s="304"/>
    <row r="1097" customFormat="1" s="304"/>
    <row r="1098" customFormat="1" s="304"/>
    <row r="1099" customFormat="1" s="304"/>
    <row r="1100" customFormat="1" s="304"/>
    <row r="1101" customFormat="1" s="304"/>
    <row r="1102" customFormat="1" s="304"/>
    <row r="1103" customFormat="1" s="304"/>
    <row r="1104" customFormat="1" s="304"/>
    <row r="1105" customFormat="1" s="304"/>
    <row r="1106" customFormat="1" s="304"/>
    <row r="1107" customFormat="1" s="304"/>
    <row r="1108" customFormat="1" s="304"/>
    <row r="1109" customFormat="1" s="304"/>
    <row r="1110" customFormat="1" s="304"/>
    <row r="1111" customFormat="1" s="304"/>
    <row r="1112" customFormat="1" s="304"/>
    <row r="1113" customFormat="1" s="304"/>
    <row r="1114" customFormat="1" s="304"/>
    <row r="1115" customFormat="1" s="304"/>
    <row r="1116" customFormat="1" s="304"/>
    <row r="1117" customFormat="1" s="304"/>
    <row r="1118" customFormat="1" s="304"/>
    <row r="1119" customFormat="1" s="304"/>
    <row r="1120" customFormat="1" s="304"/>
    <row r="1121" customFormat="1" s="304"/>
    <row r="1122" customFormat="1" s="304"/>
    <row r="1123" customFormat="1" s="304"/>
    <row r="1124" customFormat="1" s="304"/>
    <row r="1125" customFormat="1" s="304"/>
    <row r="1126" customFormat="1" s="304"/>
    <row r="1127" customFormat="1" s="304"/>
    <row r="1128" customFormat="1" s="304"/>
    <row r="1129" customFormat="1" s="304"/>
    <row r="1130" customFormat="1" s="304"/>
    <row r="1131" customFormat="1" s="304"/>
    <row r="1132" customFormat="1" s="304"/>
    <row r="1133" customFormat="1" s="304"/>
    <row r="1134" customFormat="1" s="304"/>
    <row r="1135" customFormat="1" s="304"/>
    <row r="1136" customFormat="1" s="304"/>
    <row r="1137" customFormat="1" s="304"/>
    <row r="1138" customFormat="1" s="304"/>
    <row r="1139" customFormat="1" s="304"/>
    <row r="1140" customFormat="1" s="304"/>
    <row r="1141" customFormat="1" s="304"/>
    <row r="1142" customFormat="1" s="304"/>
    <row r="1143" customFormat="1" s="304"/>
    <row r="1144" customFormat="1" s="304"/>
    <row r="1145" customFormat="1" s="304"/>
    <row r="1146" customFormat="1" s="304"/>
    <row r="1147" customFormat="1" s="304"/>
    <row r="1148" customFormat="1" s="304"/>
    <row r="1149" customFormat="1" s="304"/>
    <row r="1150" customFormat="1" s="304"/>
    <row r="1151" customFormat="1" s="304"/>
    <row r="1152" customFormat="1" s="304"/>
    <row r="1153" customFormat="1" s="304"/>
    <row r="1154" customFormat="1" s="304"/>
    <row r="1155" customFormat="1" s="304"/>
    <row r="1156" customFormat="1" s="304"/>
    <row r="1157" customFormat="1" s="304"/>
    <row r="1158" customFormat="1" s="304"/>
    <row r="1159" customFormat="1" s="304"/>
    <row r="1160" customFormat="1" s="304"/>
    <row r="1161" customFormat="1" s="304"/>
    <row r="1162" customFormat="1" s="304"/>
    <row r="1163" customFormat="1" s="304"/>
    <row r="1164" customFormat="1" s="304"/>
    <row r="1165" customFormat="1" s="304"/>
    <row r="1166" customFormat="1" s="304"/>
    <row r="1167" customFormat="1" s="304"/>
    <row r="1168" customFormat="1" s="304"/>
    <row r="1169" customFormat="1" s="304"/>
    <row r="1170" customFormat="1" s="304"/>
    <row r="1171" customFormat="1" s="304"/>
    <row r="1172" customFormat="1" s="304"/>
    <row r="1173" customFormat="1" s="304"/>
    <row r="1174" customFormat="1" s="304"/>
    <row r="1175" customFormat="1" s="304"/>
    <row r="1176" customFormat="1" s="304"/>
    <row r="1177" customFormat="1" s="304"/>
    <row r="1178" customFormat="1" s="304"/>
    <row r="1179" customFormat="1" s="304"/>
    <row r="1180" customFormat="1" s="304"/>
    <row r="1181" customFormat="1" s="304"/>
    <row r="1182" customFormat="1" s="304"/>
    <row r="1183" customFormat="1" s="304"/>
    <row r="1184" customFormat="1" s="304"/>
    <row r="1185" customFormat="1" s="304"/>
    <row r="1186" customFormat="1" s="304"/>
    <row r="1187" customFormat="1" s="304"/>
    <row r="1188" customFormat="1" s="304"/>
    <row r="1189" customFormat="1" s="304"/>
    <row r="1190" customFormat="1" s="304"/>
    <row r="1191" customFormat="1" s="304"/>
    <row r="1192" customFormat="1" s="304"/>
    <row r="1193" customFormat="1" s="304"/>
    <row r="1194" customFormat="1" s="304"/>
    <row r="1195" customFormat="1" s="304"/>
    <row r="1196" customFormat="1" s="304"/>
    <row r="1197" customFormat="1" s="304"/>
    <row r="1198" customFormat="1" s="304"/>
    <row r="1199" customFormat="1" s="304"/>
    <row r="1200" customFormat="1" s="304"/>
    <row r="1201" customFormat="1" s="304"/>
    <row r="1202" customFormat="1" s="304"/>
    <row r="1203" customFormat="1" s="304"/>
    <row r="1204" customFormat="1" s="304"/>
    <row r="1205" customFormat="1" s="304"/>
    <row r="1206" customFormat="1" s="304"/>
    <row r="1207" customFormat="1" s="304"/>
    <row r="1208" customFormat="1" s="304"/>
    <row r="1209" customFormat="1" s="304"/>
    <row r="1210" customFormat="1" s="304"/>
    <row r="1211" customFormat="1" s="304"/>
    <row r="1212" customFormat="1" s="304"/>
    <row r="1213" customFormat="1" s="304"/>
    <row r="1214" customFormat="1" s="304"/>
    <row r="1215" customFormat="1" s="304"/>
    <row r="1216" customFormat="1" s="304"/>
    <row r="1217" customFormat="1" s="304"/>
    <row r="1218" customFormat="1" s="304"/>
    <row r="1219" customFormat="1" s="304"/>
    <row r="1220" customFormat="1" s="304"/>
    <row r="1221" customFormat="1" s="304"/>
    <row r="1222" customFormat="1" s="304"/>
    <row r="1223" customFormat="1" s="304"/>
    <row r="1224" customFormat="1" s="304"/>
    <row r="1225" customFormat="1" s="304"/>
    <row r="1226" customFormat="1" s="304"/>
    <row r="1227" customFormat="1" s="304"/>
    <row r="1228" customFormat="1" s="304"/>
    <row r="1229" customFormat="1" s="304"/>
    <row r="1230" customFormat="1" s="304"/>
    <row r="1231" customFormat="1" s="304"/>
    <row r="1232" customFormat="1" s="304"/>
    <row r="1233" customFormat="1" s="304"/>
    <row r="1234" customFormat="1" s="304"/>
    <row r="1235" customFormat="1" s="304"/>
    <row r="1236" customFormat="1" s="304"/>
    <row r="1237" customFormat="1" s="304"/>
    <row r="1238" customFormat="1" s="304"/>
    <row r="1239" customFormat="1" s="304"/>
    <row r="1240" customFormat="1" s="304"/>
    <row r="1241" customFormat="1" s="304"/>
    <row r="1242" customFormat="1" s="304"/>
    <row r="1243" customFormat="1" s="304"/>
    <row r="1244" customFormat="1" s="304"/>
    <row r="1245" customFormat="1" s="304"/>
    <row r="1246" customFormat="1" s="304"/>
    <row r="1247" customFormat="1" s="304"/>
    <row r="1248" customFormat="1" s="304"/>
    <row r="1249" customFormat="1" s="304"/>
    <row r="1250" customFormat="1" s="304"/>
    <row r="1251" customFormat="1" s="304"/>
    <row r="1252" customFormat="1" s="304"/>
    <row r="1253" customFormat="1" s="304"/>
    <row r="1254" customFormat="1" s="304"/>
    <row r="1255" customFormat="1" s="304"/>
    <row r="1256" customFormat="1" s="304"/>
    <row r="1257" customFormat="1" s="304"/>
    <row r="1258" customFormat="1" s="304"/>
    <row r="1259" customFormat="1" s="304"/>
    <row r="1260" customFormat="1" s="304"/>
    <row r="1261" customFormat="1" s="304"/>
    <row r="1262" customFormat="1" s="304"/>
    <row r="1263" customFormat="1" s="304"/>
    <row r="1264" customFormat="1" s="304"/>
    <row r="1265" customFormat="1" s="304"/>
    <row r="1266" customFormat="1" s="304"/>
    <row r="1267" customFormat="1" s="304"/>
    <row r="1268" customFormat="1" s="304"/>
    <row r="1269" customFormat="1" s="304"/>
    <row r="1270" customFormat="1" s="304"/>
    <row r="1271" customFormat="1" s="304"/>
    <row r="1272" customFormat="1" s="304"/>
    <row r="1273" customFormat="1" s="304"/>
    <row r="1274" customFormat="1" s="304"/>
    <row r="1275" customFormat="1" s="304"/>
    <row r="1276" customFormat="1" s="304"/>
    <row r="1277" customFormat="1" s="304"/>
    <row r="1278" customFormat="1" s="304"/>
    <row r="1279" customFormat="1" s="304"/>
    <row r="1280" customFormat="1" s="304"/>
    <row r="1281" customFormat="1" s="304"/>
    <row r="1282" customFormat="1" s="304"/>
    <row r="1283" customFormat="1" s="304"/>
    <row r="1284" customFormat="1" s="304"/>
    <row r="1285" customFormat="1" s="304"/>
    <row r="1286" customFormat="1" s="304"/>
    <row r="1287" customFormat="1" s="304"/>
    <row r="1288" customFormat="1" s="304"/>
    <row r="1289" customFormat="1" s="304"/>
    <row r="1290" customFormat="1" s="304"/>
    <row r="1291" customFormat="1" s="304"/>
    <row r="1292" customFormat="1" s="304"/>
    <row r="1293" customFormat="1" s="304"/>
    <row r="1294" customFormat="1" s="304"/>
    <row r="1295" customFormat="1" s="304"/>
    <row r="1296" customFormat="1" s="304"/>
    <row r="1297" customFormat="1" s="304"/>
    <row r="1298" customFormat="1" s="304"/>
    <row r="1299" customFormat="1" s="304"/>
    <row r="1300" customFormat="1" s="304"/>
    <row r="1301" customFormat="1" s="304"/>
    <row r="1302" customFormat="1" s="304"/>
    <row r="1303" customFormat="1" s="304"/>
    <row r="1304" customFormat="1" s="304"/>
    <row r="1305" customFormat="1" s="304"/>
    <row r="1306" customFormat="1" s="304"/>
    <row r="1307" customFormat="1" s="304"/>
    <row r="1308" customFormat="1" s="304"/>
    <row r="1309" customFormat="1" s="304"/>
    <row r="1310" customFormat="1" s="304"/>
    <row r="1311" customFormat="1" s="304"/>
    <row r="1312" customFormat="1" s="304"/>
    <row r="1313" customFormat="1" s="304"/>
    <row r="1314" customFormat="1" s="304"/>
    <row r="1315" customFormat="1" s="304"/>
    <row r="1316" customFormat="1" s="304"/>
    <row r="1317" customFormat="1" s="304"/>
    <row r="1318" customFormat="1" s="304"/>
    <row r="1319" customFormat="1" s="304"/>
    <row r="1320" customFormat="1" s="304"/>
    <row r="1321" customFormat="1" s="304"/>
    <row r="1322" customFormat="1" s="304"/>
    <row r="1323" customFormat="1" s="304"/>
    <row r="1324" customFormat="1" s="304"/>
    <row r="1325" customFormat="1" s="304"/>
    <row r="1326" customFormat="1" s="304"/>
    <row r="1327" customFormat="1" s="304"/>
    <row r="1328" customFormat="1" s="304"/>
    <row r="1329" customFormat="1" s="304"/>
    <row r="1330" customFormat="1" s="304"/>
    <row r="1331" customFormat="1" s="304"/>
    <row r="1332" customFormat="1" s="304"/>
    <row r="1333" customFormat="1" s="304"/>
    <row r="1334" customFormat="1" s="304"/>
    <row r="1335" customFormat="1" s="304"/>
    <row r="1336" customFormat="1" s="304"/>
    <row r="1337" customFormat="1" s="304"/>
    <row r="1338" customFormat="1" s="304"/>
    <row r="1339" customFormat="1" s="304"/>
    <row r="1340" customFormat="1" s="304"/>
    <row r="1341" customFormat="1" s="304"/>
    <row r="1342" customFormat="1" s="304"/>
    <row r="1343" customFormat="1" s="304"/>
    <row r="1344" customFormat="1" s="304"/>
    <row r="1345" customFormat="1" s="304"/>
    <row r="1346" customFormat="1" s="304"/>
    <row r="1347" customFormat="1" s="304"/>
    <row r="1348" customFormat="1" s="304"/>
    <row r="1349" customFormat="1" s="304"/>
    <row r="1350" customFormat="1" s="304"/>
    <row r="1351" customFormat="1" s="304"/>
    <row r="1352" customFormat="1" s="304"/>
    <row r="1353" customFormat="1" s="304"/>
    <row r="1354" customFormat="1" s="304"/>
    <row r="1355" customFormat="1" s="304"/>
    <row r="1356" customFormat="1" s="304"/>
    <row r="1357" customFormat="1" s="304"/>
    <row r="1358" customFormat="1" s="304"/>
    <row r="1359" customFormat="1" s="304"/>
    <row r="1360" customFormat="1" s="304"/>
    <row r="1361" customFormat="1" s="304"/>
    <row r="1362" customFormat="1" s="304"/>
    <row r="1363" customFormat="1" s="304"/>
    <row r="1364" customFormat="1" s="304"/>
    <row r="1365" customFormat="1" s="304"/>
    <row r="1366" customFormat="1" s="304"/>
    <row r="1367" customFormat="1" s="304"/>
    <row r="1368" customFormat="1" s="304"/>
    <row r="1369" customFormat="1" s="304"/>
    <row r="1370" customFormat="1" s="304"/>
    <row r="1371" customFormat="1" s="304"/>
    <row r="1372" customFormat="1" s="304"/>
    <row r="1373" customFormat="1" s="304"/>
    <row r="1374" customFormat="1" s="304"/>
    <row r="1375" customFormat="1" s="304"/>
    <row r="1376" customFormat="1" s="304"/>
    <row r="1377" customFormat="1" s="304"/>
    <row r="1378" customFormat="1" s="304"/>
    <row r="1379" customFormat="1" s="304"/>
    <row r="1380" customFormat="1" s="304"/>
    <row r="1381" customFormat="1" s="304"/>
    <row r="1382" customFormat="1" s="304"/>
    <row r="1383" customFormat="1" s="304"/>
    <row r="1384" customFormat="1" s="304"/>
    <row r="1385" customFormat="1" s="304"/>
    <row r="1386" customFormat="1" s="304"/>
    <row r="1387" customFormat="1" s="304"/>
    <row r="1388" customFormat="1" s="304"/>
    <row r="1389" customFormat="1" s="304"/>
    <row r="1390" customFormat="1" s="304"/>
    <row r="1391" customFormat="1" s="304"/>
    <row r="1392" customFormat="1" s="304"/>
    <row r="1393" customFormat="1" s="304"/>
    <row r="1394" customFormat="1" s="304"/>
    <row r="1395" customFormat="1" s="304"/>
    <row r="1396" customFormat="1" s="304"/>
    <row r="1397" customFormat="1" s="304"/>
    <row r="1398" customFormat="1" s="304"/>
    <row r="1399" customFormat="1" s="304"/>
    <row r="1400" customFormat="1" s="304"/>
    <row r="1401" customFormat="1" s="304"/>
    <row r="1402" customFormat="1" s="304"/>
    <row r="1403" customFormat="1" s="304"/>
    <row r="1404" customFormat="1" s="304"/>
    <row r="1405" customFormat="1" s="304"/>
    <row r="1406" customFormat="1" s="304"/>
    <row r="1407" customFormat="1" s="304"/>
    <row r="1408" customFormat="1" s="304"/>
    <row r="1409" customFormat="1" s="304"/>
    <row r="1410" customFormat="1" s="304"/>
    <row r="1411" customFormat="1" s="304"/>
    <row r="1412" customFormat="1" s="304"/>
    <row r="1413" customFormat="1" s="304"/>
    <row r="1414" customFormat="1" s="304"/>
    <row r="1415" customFormat="1" s="304"/>
    <row r="1416" customFormat="1" s="304"/>
    <row r="1417" customFormat="1" s="304"/>
    <row r="1418" customFormat="1" s="304"/>
    <row r="1419" customFormat="1" s="304"/>
    <row r="1420" customFormat="1" s="304"/>
    <row r="1421" customFormat="1" s="304"/>
    <row r="1422" customFormat="1" s="304"/>
    <row r="1423" customFormat="1" s="304"/>
    <row r="1424" customFormat="1" s="304"/>
    <row r="1425" customFormat="1" s="304"/>
    <row r="1426" customFormat="1" s="304"/>
    <row r="1427" customFormat="1" s="304"/>
    <row r="1428" customFormat="1" s="304"/>
    <row r="1429" customFormat="1" s="304"/>
    <row r="1430" customFormat="1" s="304"/>
    <row r="1431" customFormat="1" s="304"/>
    <row r="1432" customFormat="1" s="304"/>
    <row r="1433" customFormat="1" s="304"/>
    <row r="1434" customFormat="1" s="304"/>
    <row r="1435" customFormat="1" s="304"/>
    <row r="1436" customFormat="1" s="304"/>
    <row r="1437" customFormat="1" s="304"/>
    <row r="1438" customFormat="1" s="304"/>
    <row r="1439" customFormat="1" s="304"/>
    <row r="1440" customFormat="1" s="304"/>
    <row r="1441" customFormat="1" s="304"/>
    <row r="1442" customFormat="1" s="304"/>
    <row r="1443" customFormat="1" s="304"/>
    <row r="1444" customFormat="1" s="304"/>
    <row r="1445" customFormat="1" s="304"/>
    <row r="1446" customFormat="1" s="304"/>
    <row r="1447" customFormat="1" s="304"/>
    <row r="1448" customFormat="1" s="304"/>
    <row r="1449" customFormat="1" s="304"/>
    <row r="1450" customFormat="1" s="304"/>
    <row r="1451" customFormat="1" s="304"/>
    <row r="1452" customFormat="1" s="304"/>
    <row r="1453" customFormat="1" s="304"/>
    <row r="1454" customFormat="1" s="304"/>
    <row r="1455" customFormat="1" s="304"/>
    <row r="1456" customFormat="1" s="304"/>
    <row r="1457" customFormat="1" s="304"/>
    <row r="1458" customFormat="1" s="304"/>
    <row r="1459" customFormat="1" s="304"/>
    <row r="1460" customFormat="1" s="304"/>
    <row r="1461" customFormat="1" s="304"/>
    <row r="1462" customFormat="1" s="304"/>
    <row r="1463" customFormat="1" s="304"/>
    <row r="1464" customFormat="1" s="304"/>
    <row r="1465" customFormat="1" s="304"/>
    <row r="1466" customFormat="1" s="304"/>
    <row r="1467" customFormat="1" s="304"/>
    <row r="1468" customFormat="1" s="304"/>
    <row r="1469" customFormat="1" s="304"/>
    <row r="1470" customFormat="1" s="304"/>
    <row r="1471" customFormat="1" s="304"/>
    <row r="1472" customFormat="1" s="304"/>
    <row r="1473" customFormat="1" s="304"/>
    <row r="1474" customFormat="1" s="304"/>
    <row r="1475" customFormat="1" s="304"/>
    <row r="1476" customFormat="1" s="304"/>
    <row r="1477" customFormat="1" s="304"/>
    <row r="1478" customFormat="1" s="304"/>
    <row r="1479" customFormat="1" s="304"/>
    <row r="1480" customFormat="1" s="304"/>
    <row r="1481" customFormat="1" s="304"/>
    <row r="1482" customFormat="1" s="304"/>
    <row r="1483" customFormat="1" s="304"/>
    <row r="1484" customFormat="1" s="304"/>
    <row r="1485" customFormat="1" s="304"/>
    <row r="1486" customFormat="1" s="304"/>
    <row r="1487" customFormat="1" s="304"/>
    <row r="1488" customFormat="1" s="304"/>
    <row r="1489" customFormat="1" s="304"/>
    <row r="1490" customFormat="1" s="304"/>
    <row r="1491" customFormat="1" s="304"/>
    <row r="1492" customFormat="1" s="304"/>
    <row r="1493" customFormat="1" s="304"/>
    <row r="1494" customFormat="1" s="304"/>
    <row r="1495" customFormat="1" s="304"/>
    <row r="1496" customFormat="1" s="304"/>
    <row r="1497" customFormat="1" s="304"/>
    <row r="1498" customFormat="1" s="304"/>
    <row r="1499" customFormat="1" s="304"/>
    <row r="1500" customFormat="1" s="304"/>
    <row r="1501" customFormat="1" s="304"/>
    <row r="1502" customFormat="1" s="304"/>
    <row r="1503" customFormat="1" s="304"/>
    <row r="1504" customFormat="1" s="304"/>
    <row r="1505" customFormat="1" s="304"/>
    <row r="1506" customFormat="1" s="304"/>
    <row r="1507" customFormat="1" s="304"/>
    <row r="1508" customFormat="1" s="304"/>
    <row r="1509" customFormat="1" s="304"/>
    <row r="1510" customFormat="1" s="304"/>
    <row r="1511" customFormat="1" s="304"/>
    <row r="1512" customFormat="1" s="304"/>
    <row r="1513" customFormat="1" s="304"/>
    <row r="1514" customFormat="1" s="304"/>
    <row r="1515" customFormat="1" s="304"/>
    <row r="1516" customFormat="1" s="304"/>
    <row r="1517" customFormat="1" s="304"/>
    <row r="1518" customFormat="1" s="304"/>
    <row r="1519" customFormat="1" s="304"/>
    <row r="1520" customFormat="1" s="304"/>
    <row r="1521" customFormat="1" s="304"/>
    <row r="1522" customFormat="1" s="304"/>
    <row r="1523" customFormat="1" s="304"/>
    <row r="1524" customFormat="1" s="304"/>
    <row r="1525" customFormat="1" s="304"/>
    <row r="1526" customFormat="1" s="304"/>
    <row r="1527" customFormat="1" s="304"/>
    <row r="1528" customFormat="1" s="304"/>
    <row r="1529" customFormat="1" s="304"/>
    <row r="1530" customFormat="1" s="304"/>
    <row r="1531" customFormat="1" s="304"/>
    <row r="1532" customFormat="1" s="304"/>
    <row r="1533" customFormat="1" s="304"/>
    <row r="1534" customFormat="1" s="304"/>
    <row r="1535" customFormat="1" s="304"/>
    <row r="1536" customFormat="1" s="304"/>
    <row r="1537" customFormat="1" s="304"/>
    <row r="1538" customFormat="1" s="304"/>
    <row r="1539" customFormat="1" s="304"/>
    <row r="1540" customFormat="1" s="304"/>
    <row r="1541" customFormat="1" s="304"/>
    <row r="1542" customFormat="1" s="304"/>
    <row r="1543" customFormat="1" s="304"/>
    <row r="1544" customFormat="1" s="304"/>
    <row r="1545" customFormat="1" s="304"/>
    <row r="1546" customFormat="1" s="304"/>
    <row r="1547" customFormat="1" s="304"/>
    <row r="1548" customFormat="1" s="304"/>
    <row r="1549" customFormat="1" s="304"/>
    <row r="1550" customFormat="1" s="304"/>
    <row r="1551" customFormat="1" s="304"/>
    <row r="1552" customFormat="1" s="304"/>
    <row r="1553" customFormat="1" s="304"/>
    <row r="1554" customFormat="1" s="304"/>
    <row r="1555" customFormat="1" s="304"/>
    <row r="1556" customFormat="1" s="304"/>
    <row r="1557" customFormat="1" s="304"/>
    <row r="1558" customFormat="1" s="304"/>
    <row r="1559" customFormat="1" s="304"/>
    <row r="1560" customFormat="1" s="304"/>
    <row r="1561" customFormat="1" s="304"/>
    <row r="1562" customFormat="1" s="304"/>
    <row r="1563" customFormat="1" s="304"/>
    <row r="1564" customFormat="1" s="304"/>
    <row r="1565" customFormat="1" s="304"/>
    <row r="1566" customFormat="1" s="304"/>
    <row r="1567" customFormat="1" s="304"/>
    <row r="1568" customFormat="1" s="304"/>
    <row r="1569" customFormat="1" s="304"/>
    <row r="1570" customFormat="1" s="304"/>
    <row r="1571" customFormat="1" s="304"/>
    <row r="1572" customFormat="1" s="304"/>
    <row r="1573" customFormat="1" s="304"/>
    <row r="1574" customFormat="1" s="304"/>
    <row r="1575" customFormat="1" s="304"/>
    <row r="1576" customFormat="1" s="304"/>
    <row r="1577" customFormat="1" s="304"/>
    <row r="1578" customFormat="1" s="304"/>
    <row r="1579" customFormat="1" s="304"/>
    <row r="1580" customFormat="1" s="304"/>
    <row r="1581" customFormat="1" s="304"/>
    <row r="1582" customFormat="1" s="304"/>
    <row r="1583" customFormat="1" s="304"/>
    <row r="1584" customFormat="1" s="304"/>
    <row r="1585" customFormat="1" s="304"/>
    <row r="1586" customFormat="1" s="304"/>
    <row r="1587" customFormat="1" s="304"/>
    <row r="1588" customFormat="1" s="304"/>
    <row r="1589" customFormat="1" s="304"/>
    <row r="1590" customFormat="1" s="304"/>
    <row r="1591" customFormat="1" s="304"/>
    <row r="1592" customFormat="1" s="304"/>
    <row r="1593" customFormat="1" s="304"/>
    <row r="1594" customFormat="1" s="304"/>
    <row r="1595" customFormat="1" s="304"/>
    <row r="1596" customFormat="1" s="304"/>
    <row r="1597" customFormat="1" s="304"/>
    <row r="1598" customFormat="1" s="304"/>
    <row r="1599" customFormat="1" s="304"/>
    <row r="1600" customFormat="1" s="304"/>
    <row r="1601" customFormat="1" s="304"/>
    <row r="1602" customFormat="1" s="304"/>
    <row r="1603" customFormat="1" s="304"/>
    <row r="1604" customFormat="1" s="304"/>
    <row r="1605" customFormat="1" s="304"/>
    <row r="1606" customFormat="1" s="304"/>
    <row r="1607" customFormat="1" s="304"/>
    <row r="1608" customFormat="1" s="304"/>
    <row r="1609" customFormat="1" s="304"/>
    <row r="1610" customFormat="1" s="304"/>
    <row r="1611" customFormat="1" s="304"/>
    <row r="1612" customFormat="1" s="304"/>
    <row r="1613" customFormat="1" s="304"/>
    <row r="1614" customFormat="1" s="304"/>
    <row r="1615" customFormat="1" s="304"/>
    <row r="1616" customFormat="1" s="304"/>
    <row r="1617" customFormat="1" s="304"/>
    <row r="1618" customFormat="1" s="304"/>
    <row r="1619" customFormat="1" s="304"/>
    <row r="1620" customFormat="1" s="304"/>
    <row r="1621" customFormat="1" s="304"/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J51" sqref="J51:K51"/>
    </sheetView>
  </sheetViews>
  <sheetFormatPr baseColWidth="8" defaultColWidth="9" defaultRowHeight="13.5" outlineLevelRow="6"/>
  <sheetData>
    <row r="1">
      <c r="A1" s="51" t="inlineStr">
        <is>
          <t>Flight</t>
        </is>
      </c>
      <c r="B1" t="n">
        <v>66510</v>
      </c>
    </row>
    <row r="2">
      <c r="A2" s="52" t="inlineStr">
        <is>
          <t>Refund</t>
        </is>
      </c>
      <c r="B2" t="n">
        <v>66510</v>
      </c>
    </row>
    <row r="3">
      <c r="A3" s="53" t="inlineStr">
        <is>
          <t>Rebook</t>
        </is>
      </c>
      <c r="B3" t="n">
        <v>66510</v>
      </c>
    </row>
    <row r="4">
      <c r="A4" s="54" t="inlineStr">
        <is>
          <t>External</t>
        </is>
      </c>
      <c r="B4" t="n">
        <v>66400</v>
      </c>
      <c r="C4" t="inlineStr">
        <is>
          <t>外部</t>
        </is>
      </c>
    </row>
    <row r="5">
      <c r="A5" s="173" t="inlineStr">
        <is>
          <t>GM</t>
        </is>
      </c>
      <c r="B5" t="n">
        <v>13700</v>
      </c>
    </row>
    <row r="6">
      <c r="A6" s="56" t="inlineStr">
        <is>
          <t>luggage</t>
        </is>
      </c>
      <c r="B6" t="n">
        <v>66510</v>
      </c>
    </row>
    <row r="7">
      <c r="A7" t="inlineStr">
        <is>
          <t>Train</t>
        </is>
      </c>
      <c r="B7" t="n">
        <v>66510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2018-02-01T12:04:00Z</dcterms:created>
  <dcterms:modified xsi:type="dcterms:W3CDTF">2026-07-15T06:07:33Z</dcterms:modified>
  <cp:lastModifiedBy>曲芳芳</cp:lastModifiedBy>
  <cp:revision>1</cp:revision>
  <cp:lastPrinted>2021-10-15T08:25:00Z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2.1.3</vt:lpwstr>
  </property>
  <property name="KSOProductBuildVer" fmtid="{D5CDD505-2E9C-101B-9397-08002B2CF9AE}" pid="4">
    <vt:lpwstr>2052-12.1.0.26895</vt:lpwstr>
  </property>
  <property name="ICV" fmtid="{D5CDD505-2E9C-101B-9397-08002B2CF9AE}" pid="5">
    <vt:lpwstr>0BCE0EC77E1E456099D142B5BA333223_13</vt:lpwstr>
  </property>
  <property name="CalculationRule" fmtid="{D5CDD505-2E9C-101B-9397-08002B2CF9AE}" pid="6">
    <vt:i4>0</vt:i4>
  </property>
  <property name="KSOReadingLayout" fmtid="{D5CDD505-2E9C-101B-9397-08002B2CF9AE}" pid="7">
    <vt:bool>0</vt:bool>
  </property>
</Properties>
</file>